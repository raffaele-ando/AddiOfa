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Ipotesi" sheetId="2" state="visible" r:id="rId2"/>
    <sheet name="Anno 2027" sheetId="3" state="visible" r:id="rId3"/>
    <sheet name="Mesi" sheetId="4" state="visible" r:id="rId4"/>
    <sheet name="Tre anni" sheetId="5" state="visible" r:id="rId5"/>
    <sheet name="Paregg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#,##0.00 &quot;€&quot;;(#,##0.00 &quot;€&quot;);&quot;-&quot;"/>
    <numFmt numFmtId="167" formatCode="#,##0 &quot;€&quot;;(#,##0 &quot;€&quot;);&quot;-&quot;"/>
    <numFmt numFmtId="168" formatCode="0.0&quot;x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color rgb="000000FF"/>
    </font>
    <font>
      <name val="Arial"/>
      <i val="1"/>
      <color rgb="00666666"/>
    </font>
    <font>
      <name val="Arial"/>
      <color rgb="00444444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164" fontId="4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165" fontId="4" fillId="2" borderId="0" pivotButton="0" quotePrefix="0" xfId="0"/>
    <xf numFmtId="166" fontId="4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4" fontId="2" fillId="0" borderId="0" pivotButton="0" quotePrefix="0" xfId="0"/>
    <xf numFmtId="164" fontId="3" fillId="0" borderId="1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7" fontId="3" fillId="0" borderId="1" pivotButton="0" quotePrefix="0" xfId="0"/>
    <xf numFmtId="165" fontId="3" fillId="0" borderId="1" pivotButton="0" quotePrefix="0" xfId="0"/>
    <xf numFmtId="0" fontId="3" fillId="3" borderId="0" applyAlignment="1" pivotButton="0" quotePrefix="0" xfId="0">
      <alignment horizontal="center"/>
    </xf>
    <xf numFmtId="165" fontId="7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AddiOFA: conti del primo anno e dei tre anni</t>
        </is>
      </c>
    </row>
    <row r="2">
      <c r="A2" s="2" t="inlineStr"/>
    </row>
    <row r="3">
      <c r="A3" s="3" t="inlineStr">
        <is>
          <t>Come si usa</t>
        </is>
      </c>
    </row>
    <row r="4">
      <c r="A4" s="2" t="inlineStr">
        <is>
          <t>1. Le ipotesi sono tutte nel foglio Ipotesi, in tre colonne: Prudente, Base, Buono.</t>
        </is>
      </c>
    </row>
    <row r="5">
      <c r="A5" s="2" t="inlineStr">
        <is>
          <t>2. Numeri in blu = ipotesi da cambiare. Numeri in nero = formule: non toccarli.</t>
        </is>
      </c>
    </row>
    <row r="6">
      <c r="A6" s="2" t="inlineStr">
        <is>
          <t>3. Le celle gialle sono le ipotesi che pesano di più: misurale con la beta e aggiornale.</t>
        </is>
      </c>
    </row>
    <row r="7">
      <c r="A7" s="2" t="inlineStr">
        <is>
          <t>4. Nel foglio Ipotesi, cella C3, scegli lo scenario mostrato nei fogli Mesi e Tre anni.</t>
        </is>
      </c>
    </row>
    <row r="8">
      <c r="A8" s="2" t="inlineStr">
        <is>
          <t>5. Il risultato è calcolato in due modi: Gestione Separata (professionista) e Commercianti (impresa). Quale vale lo decide il commercialista.</t>
        </is>
      </c>
    </row>
    <row r="9">
      <c r="A9" s="2" t="inlineStr"/>
    </row>
    <row r="10">
      <c r="A10" s="3" t="inlineStr">
        <is>
          <t>Cosa contiene</t>
        </is>
      </c>
    </row>
    <row r="11">
      <c r="A11" s="2" t="inlineStr">
        <is>
          <t>Ipotesi: tutte le leve, con la fonte o la nota accanto.</t>
        </is>
      </c>
    </row>
    <row r="12">
      <c r="A12" s="2" t="inlineStr">
        <is>
          <t>Anno 2027: conto economico del primo anno di vendita (gennaio-dicembre 2027) nei tre scenari.</t>
        </is>
      </c>
    </row>
    <row r="13">
      <c r="A13" s="2" t="inlineStr">
        <is>
          <t>Mesi: come si distribuiscono incassi e costi nei 12 mesi del 2027, scenario scelto.</t>
        </is>
      </c>
    </row>
    <row r="14">
      <c r="A14" s="2" t="inlineStr">
        <is>
          <t>Tre anni: 2027-2029 con le ipotesi di crescita.</t>
        </is>
      </c>
    </row>
    <row r="15">
      <c r="A15" s="2" t="inlineStr">
        <is>
          <t>Pareggio: quanti Pass servono per coprire i costi fissi, con le due gestioni INPS.</t>
        </is>
      </c>
    </row>
    <row r="16">
      <c r="A16" s="2" t="inlineStr"/>
    </row>
    <row r="17">
      <c r="A17" s="3" t="inlineStr">
        <is>
          <t>Avvertenze</t>
        </is>
      </c>
    </row>
    <row r="18">
      <c r="A18" s="2" t="inlineStr">
        <is>
          <t>Le ipotesi di conversione non sono dati misurati: lo diventano solo con la beta.</t>
        </is>
      </c>
    </row>
    <row r="19">
      <c r="A19" s="2" t="inlineStr">
        <is>
          <t>Il calcolo fiscale è semplificato (forfettario, cassa = competenza, senza IVA perché il forfettario non la applica).</t>
        </is>
      </c>
    </row>
    <row r="20">
      <c r="A20" s="2" t="inlineStr">
        <is>
          <t>Va confermato con un commercialista prima del primo incasso.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" customWidth="1" min="2" max="2"/>
    <col width="13" customWidth="1" min="3" max="3"/>
    <col width="13" customWidth="1" min="4" max="4"/>
    <col width="13" customWidth="1" min="5" max="5"/>
    <col width="95" customWidth="1" min="6" max="6"/>
  </cols>
  <sheetData>
    <row r="1">
      <c r="A1" s="1" t="inlineStr">
        <is>
          <t>Ipotesi</t>
        </is>
      </c>
      <c r="B1" s="4" t="n"/>
      <c r="C1" s="4" t="n"/>
      <c r="D1" s="4" t="n"/>
      <c r="E1" s="4" t="n"/>
      <c r="F1" s="4" t="n"/>
    </row>
    <row r="2">
      <c r="A2" s="4" t="n"/>
      <c r="B2" s="4" t="n"/>
      <c r="C2" s="4" t="n"/>
      <c r="D2" s="4" t="n"/>
      <c r="E2" s="4" t="n"/>
      <c r="F2" s="4" t="n"/>
    </row>
    <row r="3">
      <c r="A3" s="3" t="inlineStr">
        <is>
          <t>Scenario mostrato nei fogli Mesi e Tre anni</t>
        </is>
      </c>
      <c r="B3" s="4" t="n"/>
      <c r="C3" s="5" t="inlineStr">
        <is>
          <t>Base</t>
        </is>
      </c>
      <c r="D3" s="2">
        <f>IF(C3="Prudente",1,IF(C3="Buono",3,2))</f>
        <v/>
      </c>
      <c r="E3" s="6" t="inlineStr">
        <is>
          <t>← numero dello scenario (1-3), usato dalle formule</t>
        </is>
      </c>
      <c r="F3" s="4" t="n"/>
    </row>
    <row r="4">
      <c r="A4" s="4" t="n"/>
      <c r="B4" s="4" t="n"/>
      <c r="C4" s="4" t="n"/>
      <c r="D4" s="4" t="n"/>
      <c r="E4" s="4" t="n"/>
      <c r="F4" s="4" t="n"/>
    </row>
    <row r="5">
      <c r="A5" s="7" t="inlineStr">
        <is>
          <t>Ipotesi</t>
        </is>
      </c>
      <c r="B5" s="7" t="inlineStr"/>
      <c r="C5" s="7" t="inlineStr">
        <is>
          <t>Prudente</t>
        </is>
      </c>
      <c r="D5" s="7" t="inlineStr">
        <is>
          <t>Base</t>
        </is>
      </c>
      <c r="E5" s="7" t="inlineStr">
        <is>
          <t>Buono</t>
        </is>
      </c>
      <c r="F5" s="7" t="inlineStr">
        <is>
          <t>Fonte o nota</t>
        </is>
      </c>
    </row>
    <row r="6">
      <c r="A6" s="4" t="n"/>
      <c r="B6" s="4" t="n"/>
      <c r="C6" s="4" t="n"/>
      <c r="D6" s="4" t="n"/>
      <c r="E6" s="4" t="n"/>
      <c r="F6" s="4" t="n"/>
    </row>
    <row r="7">
      <c r="A7" s="3" t="inlineStr">
        <is>
          <t>Mercato del recupero (studenti con OFA di inglese)</t>
        </is>
      </c>
      <c r="B7" s="4" t="n"/>
      <c r="C7" s="4" t="n"/>
      <c r="D7" s="4" t="n"/>
      <c r="E7" s="4" t="n"/>
      <c r="F7" s="4" t="n"/>
    </row>
    <row r="8">
      <c r="A8" s="2" t="inlineStr">
        <is>
          <t>Immatricolati l'anno ai corsi in italiano</t>
        </is>
      </c>
      <c r="B8" s="4" t="n"/>
      <c r="C8" s="8" t="n">
        <v>7000</v>
      </c>
      <c r="D8" s="8" t="n">
        <v>7000</v>
      </c>
      <c r="E8" s="8" t="n">
        <v>7000</v>
      </c>
      <c r="F8" s="9" t="inlineStr">
        <is>
          <t>USTAT: 7.820 immatricolati 2024/25, meno circa 800 nei corsi in inglese (stima).</t>
        </is>
      </c>
    </row>
    <row r="9">
      <c r="A9" s="2" t="inlineStr">
        <is>
          <t>Quota con OFA di inglese</t>
        </is>
      </c>
      <c r="B9" s="4" t="n"/>
      <c r="C9" s="10" t="n">
        <v>0.21</v>
      </c>
      <c r="D9" s="10" t="n">
        <v>0.22</v>
      </c>
      <c r="E9" s="10" t="n">
        <v>0.23</v>
      </c>
      <c r="F9" s="9" t="inlineStr">
        <is>
          <t>Graduatorie 2022-2026: 21-25 % degli ammessi con il dato; sondaggio Gestionale 23,5 %.</t>
        </is>
      </c>
    </row>
    <row r="10">
      <c r="A10" s="2" t="inlineStr">
        <is>
          <t>Quota che lo toglie con un certificato B1 già posseduto</t>
        </is>
      </c>
      <c r="B10" s="4" t="n"/>
      <c r="C10" s="10" t="n">
        <v>0.3</v>
      </c>
      <c r="D10" s="10" t="n">
        <v>0.22</v>
      </c>
      <c r="E10" s="10" t="n">
        <v>0.15</v>
      </c>
      <c r="F10" s="9" t="inlineStr">
        <is>
          <t>Ipotesi: non esiste un dato pubblico. Da misurare con un sondaggio.</t>
        </is>
      </c>
    </row>
    <row r="11">
      <c r="A11" s="2" t="inlineStr">
        <is>
          <t>Studenti degli anni precedenti ancora con l'OFA</t>
        </is>
      </c>
      <c r="B11" s="4" t="n"/>
      <c r="C11" s="8" t="n">
        <v>100</v>
      </c>
      <c r="D11" s="8" t="n">
        <v>200</v>
      </c>
      <c r="E11" s="8" t="n">
        <v>300</v>
      </c>
      <c r="F11" s="9" t="inlineStr">
        <is>
          <t>Ipotesi.</t>
        </is>
      </c>
    </row>
    <row r="12">
      <c r="A12" s="2" t="inlineStr">
        <is>
          <t>Quota del mercato che finisce il diagnostico gratuito</t>
        </is>
      </c>
      <c r="B12" s="4" t="n"/>
      <c r="C12" s="11" t="n">
        <v>0.25</v>
      </c>
      <c r="D12" s="11" t="n">
        <v>0.4</v>
      </c>
      <c r="E12" s="11" t="n">
        <v>0.55</v>
      </c>
      <c r="F12" s="9" t="inlineStr">
        <is>
          <t>Ipotesi chiave: dipende da accordo PoliNetwork, Google e passaparola.</t>
        </is>
      </c>
    </row>
    <row r="13">
      <c r="A13" s="2" t="inlineStr">
        <is>
          <t>Conversione a pagamento di chi ha finito il diagnostico</t>
        </is>
      </c>
      <c r="B13" s="4" t="n"/>
      <c r="C13" s="11" t="n">
        <v>0.05</v>
      </c>
      <c r="D13" s="11" t="n">
        <v>0.09</v>
      </c>
      <c r="E13" s="11" t="n">
        <v>0.13</v>
      </c>
      <c r="F13" s="9" t="inlineStr">
        <is>
          <t>RevenueCat 2026: mediana 2,1 %, quartile alto 4,5 % sui download; qui il bisogno è acuto.</t>
        </is>
      </c>
    </row>
    <row r="14">
      <c r="A14" s="4" t="n"/>
      <c r="B14" s="4" t="n"/>
      <c r="C14" s="4" t="n"/>
      <c r="D14" s="4" t="n"/>
      <c r="E14" s="4" t="n"/>
      <c r="F14" s="4" t="n"/>
    </row>
    <row r="15">
      <c r="A15" s="3" t="inlineStr">
        <is>
          <t>Mercato della prevenzione (candidati al test d'ingresso)</t>
        </is>
      </c>
      <c r="B15" s="4" t="n"/>
      <c r="C15" s="4" t="n"/>
      <c r="D15" s="4" t="n"/>
      <c r="E15" s="4" t="n"/>
      <c r="F15" s="4" t="n"/>
    </row>
    <row r="16">
      <c r="A16" s="2" t="inlineStr">
        <is>
          <t>Candidati l'anno al test d'ingresso (TENG incluso)</t>
        </is>
      </c>
      <c r="B16" s="4" t="n"/>
      <c r="C16" s="8" t="n">
        <v>14000</v>
      </c>
      <c r="D16" s="8" t="n">
        <v>14000</v>
      </c>
      <c r="E16" s="8" t="n">
        <v>14000</v>
      </c>
      <c r="F16" s="9" t="inlineStr">
        <is>
          <t>Graduatorie 2026: 14.162 candidati unici.</t>
        </is>
      </c>
    </row>
    <row r="17">
      <c r="A17" s="2" t="inlineStr">
        <is>
          <t>Quota dei candidati che prova l'app</t>
        </is>
      </c>
      <c r="B17" s="4" t="n"/>
      <c r="C17" s="11" t="n">
        <v>0.01</v>
      </c>
      <c r="D17" s="11" t="n">
        <v>0.025</v>
      </c>
      <c r="E17" s="11" t="n">
        <v>0.04</v>
      </c>
      <c r="F17" s="9" t="inlineStr">
        <is>
          <t>Ipotesi: solo contenuti gratuiti (YouTube, Google), primo anno.</t>
        </is>
      </c>
    </row>
    <row r="18">
      <c r="A18" s="2" t="inlineStr">
        <is>
          <t>Conversione a pagamento dei candidati che provano</t>
        </is>
      </c>
      <c r="B18" s="4" t="n"/>
      <c r="C18" s="10" t="n">
        <v>0.03</v>
      </c>
      <c r="D18" s="10" t="n">
        <v>0.05</v>
      </c>
      <c r="E18" s="10" t="n">
        <v>0.08</v>
      </c>
      <c r="F18" s="9" t="inlineStr">
        <is>
          <t>Ipotesi: bisogno meno urgente del recupero.</t>
        </is>
      </c>
    </row>
    <row r="19">
      <c r="A19" s="4" t="n"/>
      <c r="B19" s="4" t="n"/>
      <c r="C19" s="4" t="n"/>
      <c r="D19" s="4" t="n"/>
      <c r="E19" s="4" t="n"/>
      <c r="F19" s="4" t="n"/>
    </row>
    <row r="20">
      <c r="A20" s="3" t="inlineStr">
        <is>
          <t>Prezzi e mix</t>
        </is>
      </c>
      <c r="B20" s="4" t="n"/>
      <c r="C20" s="4" t="n"/>
      <c r="D20" s="4" t="n"/>
      <c r="E20" s="4" t="n"/>
      <c r="F20" s="4" t="n"/>
    </row>
    <row r="21">
      <c r="A21" s="2" t="inlineStr">
        <is>
          <t>Prezzo del Pass</t>
        </is>
      </c>
      <c r="B21" s="4" t="n"/>
      <c r="C21" s="12" t="n">
        <v>14.99</v>
      </c>
      <c r="D21" s="12" t="n">
        <v>14.99</v>
      </c>
      <c r="E21" s="12" t="n">
        <v>14.99</v>
      </c>
      <c r="F21" s="9" t="inlineStr">
        <is>
          <t>Proposta del documento.</t>
        </is>
      </c>
    </row>
    <row r="22">
      <c r="A22" s="2" t="inlineStr">
        <is>
          <t>Prezzo di lancio</t>
        </is>
      </c>
      <c r="B22" s="4" t="n"/>
      <c r="C22" s="12" t="n">
        <v>9.99</v>
      </c>
      <c r="D22" s="12" t="n">
        <v>9.99</v>
      </c>
      <c r="E22" s="12" t="n">
        <v>9.99</v>
      </c>
      <c r="F22" s="9" t="inlineStr">
        <is>
          <t>Fino al 31/01/2027, scadenza vera.</t>
        </is>
      </c>
    </row>
    <row r="23">
      <c r="A23" s="2" t="inlineStr">
        <is>
          <t>Quota delle vendite dell'anno a prezzo di lancio</t>
        </is>
      </c>
      <c r="B23" s="4" t="n"/>
      <c r="C23" s="10" t="n">
        <v>0.3</v>
      </c>
      <c r="D23" s="10" t="n">
        <v>0.2</v>
      </c>
      <c r="E23" s="10" t="n">
        <v>0.15</v>
      </c>
      <c r="F23" s="9" t="inlineStr">
        <is>
          <t>Ipotesi.</t>
        </is>
      </c>
    </row>
    <row r="24">
      <c r="A24" s="2" t="inlineStr">
        <is>
          <t>Quota delle vendite fatte da invitati (sconto 20 %)</t>
        </is>
      </c>
      <c r="B24" s="4" t="n"/>
      <c r="C24" s="10" t="n">
        <v>0.15</v>
      </c>
      <c r="D24" s="10" t="n">
        <v>0.2</v>
      </c>
      <c r="E24" s="10" t="n">
        <v>0.25</v>
      </c>
      <c r="F24" s="9" t="inlineStr">
        <is>
          <t>Andrew Chen: il passaparola aggiunge il 25-43 % di utenti.</t>
        </is>
      </c>
    </row>
    <row r="25">
      <c r="A25" s="2" t="inlineStr">
        <is>
          <t>Sconto per gli invitati</t>
        </is>
      </c>
      <c r="B25" s="4" t="n"/>
      <c r="C25" s="10" t="n">
        <v>0.2</v>
      </c>
      <c r="D25" s="10" t="n">
        <v>0.2</v>
      </c>
      <c r="E25" s="10" t="n">
        <v>0.2</v>
      </c>
      <c r="F25" s="9" t="inlineStr">
        <is>
          <t>Proposta del documento.</t>
        </is>
      </c>
    </row>
    <row r="26">
      <c r="A26" s="2" t="inlineStr">
        <is>
          <t>Quota dei Pass venduti con garanzia (+5 €)</t>
        </is>
      </c>
      <c r="B26" s="4" t="n"/>
      <c r="C26" s="10" t="n">
        <v>0.1</v>
      </c>
      <c r="D26" s="10" t="n">
        <v>0.15</v>
      </c>
      <c r="E26" s="10" t="n">
        <v>0.2</v>
      </c>
      <c r="F26" s="9" t="inlineStr">
        <is>
          <t>Ipotesi: la garanzia parte a giugno 2027.</t>
        </is>
      </c>
    </row>
    <row r="27">
      <c r="A27" s="2" t="inlineStr">
        <is>
          <t>Sovrapprezzo della garanzia</t>
        </is>
      </c>
      <c r="B27" s="4" t="n"/>
      <c r="C27" s="12" t="n">
        <v>5</v>
      </c>
      <c r="D27" s="12" t="n">
        <v>5</v>
      </c>
      <c r="E27" s="12" t="n">
        <v>5</v>
      </c>
      <c r="F27" s="9" t="inlineStr">
        <is>
          <t>19,99 contro 14,99.</t>
        </is>
      </c>
    </row>
    <row r="28">
      <c r="A28" s="2" t="inlineStr">
        <is>
          <t>Quota dei Pass con garanzia rimborsati</t>
        </is>
      </c>
      <c r="B28" s="4" t="n"/>
      <c r="C28" s="10" t="n">
        <v>0.1</v>
      </c>
      <c r="D28" s="10" t="n">
        <v>0.07000000000000001</v>
      </c>
      <c r="E28" s="10" t="n">
        <v>0.05</v>
      </c>
      <c r="F28" s="9" t="inlineStr">
        <is>
          <t>Ipotesi: si misura nella prima estate.</t>
        </is>
      </c>
    </row>
    <row r="29">
      <c r="A29" s="2" t="inlineStr">
        <is>
          <t>Quota delle vendite portate da ambassador</t>
        </is>
      </c>
      <c r="B29" s="4" t="n"/>
      <c r="C29" s="10" t="n">
        <v>0.1</v>
      </c>
      <c r="D29" s="10" t="n">
        <v>0.15</v>
      </c>
      <c r="E29" s="10" t="n">
        <v>0.2</v>
      </c>
      <c r="F29" s="9" t="inlineStr">
        <is>
          <t>Ipotesi.</t>
        </is>
      </c>
    </row>
    <row r="30">
      <c r="A30" s="2" t="inlineStr">
        <is>
          <t>Commissione degli ambassador</t>
        </is>
      </c>
      <c r="B30" s="4" t="n"/>
      <c r="C30" s="10" t="n">
        <v>0.2</v>
      </c>
      <c r="D30" s="10" t="n">
        <v>0.2</v>
      </c>
      <c r="E30" s="10" t="n">
        <v>0.2</v>
      </c>
      <c r="F30" s="9" t="inlineStr">
        <is>
          <t>Proposta del documento.</t>
        </is>
      </c>
    </row>
    <row r="31">
      <c r="A31" s="2" t="inlineStr">
        <is>
          <t>Corsi live l'anno</t>
        </is>
      </c>
      <c r="B31" s="4" t="n"/>
      <c r="C31" s="8" t="n">
        <v>0</v>
      </c>
      <c r="D31" s="8" t="n">
        <v>1</v>
      </c>
      <c r="E31" s="8" t="n">
        <v>2</v>
      </c>
      <c r="F31" s="9" t="inlineStr">
        <is>
          <t>Solo se la lista d'attesa supera 15 iscritti.</t>
        </is>
      </c>
    </row>
    <row r="32">
      <c r="A32" s="2" t="inlineStr">
        <is>
          <t>Iscritti per corso live</t>
        </is>
      </c>
      <c r="B32" s="4" t="n"/>
      <c r="C32" s="8" t="n">
        <v>10</v>
      </c>
      <c r="D32" s="8" t="n">
        <v>15</v>
      </c>
      <c r="E32" s="8" t="n">
        <v>25</v>
      </c>
      <c r="F32" s="9" t="inlineStr">
        <is>
          <t>Ipotesi.</t>
        </is>
      </c>
    </row>
    <row r="33">
      <c r="A33" s="2" t="inlineStr">
        <is>
          <t>Prezzo del corso live</t>
        </is>
      </c>
      <c r="B33" s="4" t="n"/>
      <c r="C33" s="12" t="n">
        <v>25</v>
      </c>
      <c r="D33" s="12" t="n">
        <v>25</v>
      </c>
      <c r="E33" s="12" t="n">
        <v>29</v>
      </c>
      <c r="F33" s="9" t="inlineStr">
        <is>
          <t>Proposta del documento.</t>
        </is>
      </c>
    </row>
    <row r="34">
      <c r="A34" s="2" t="inlineStr">
        <is>
          <t>Costo del docente per corso (0 se lo tieni tu)</t>
        </is>
      </c>
      <c r="B34" s="4" t="n"/>
      <c r="C34" s="13" t="n">
        <v>0</v>
      </c>
      <c r="D34" s="13" t="n">
        <v>80</v>
      </c>
      <c r="E34" s="13" t="n">
        <v>80</v>
      </c>
      <c r="F34" s="9" t="inlineStr">
        <is>
          <t>Ipotesi: 2 ore più preparazione.</t>
        </is>
      </c>
    </row>
    <row r="35">
      <c r="A35" s="4" t="n"/>
      <c r="B35" s="4" t="n"/>
      <c r="C35" s="4" t="n"/>
      <c r="D35" s="4" t="n"/>
      <c r="E35" s="4" t="n"/>
      <c r="F35" s="4" t="n"/>
    </row>
    <row r="36">
      <c r="A36" s="3" t="inlineStr">
        <is>
          <t>Pagamenti e perdite</t>
        </is>
      </c>
      <c r="B36" s="4" t="n"/>
      <c r="C36" s="4" t="n"/>
      <c r="D36" s="4" t="n"/>
      <c r="E36" s="4" t="n"/>
      <c r="F36" s="4" t="n"/>
    </row>
    <row r="37">
      <c r="A37" s="2" t="inlineStr">
        <is>
          <t>Commissione Stripe in percentuale</t>
        </is>
      </c>
      <c r="B37" s="4" t="n"/>
      <c r="C37" s="10" t="n">
        <v>0.015</v>
      </c>
      <c r="D37" s="10" t="n">
        <v>0.015</v>
      </c>
      <c r="E37" s="10" t="n">
        <v>0.015</v>
      </c>
      <c r="F37" s="9" t="inlineStr">
        <is>
          <t>stripe.com/it/pricing: carte UE standard.</t>
        </is>
      </c>
    </row>
    <row r="38">
      <c r="A38" s="2" t="inlineStr">
        <is>
          <t>Commissione Stripe fissa per pagamento</t>
        </is>
      </c>
      <c r="B38" s="4" t="n"/>
      <c r="C38" s="12" t="n">
        <v>0.25</v>
      </c>
      <c r="D38" s="12" t="n">
        <v>0.25</v>
      </c>
      <c r="E38" s="12" t="n">
        <v>0.25</v>
      </c>
      <c r="F38" s="9" t="inlineStr">
        <is>
          <t>stripe.com/it/pricing.</t>
        </is>
      </c>
    </row>
    <row r="39">
      <c r="A39" s="2" t="inlineStr">
        <is>
          <t>Recessi e contestazioni sui ricavi</t>
        </is>
      </c>
      <c r="B39" s="4" t="n"/>
      <c r="C39" s="10" t="n">
        <v>0.04</v>
      </c>
      <c r="D39" s="10" t="n">
        <v>0.03</v>
      </c>
      <c r="E39" s="10" t="n">
        <v>0.02</v>
      </c>
      <c r="F39" s="9" t="inlineStr">
        <is>
          <t>Benchmark: 2-5 % (ricerca).</t>
        </is>
      </c>
    </row>
    <row r="40">
      <c r="A40" s="2" t="inlineStr">
        <is>
          <t>Quota dei ricavi alla community (accordo PoliNetwork)</t>
        </is>
      </c>
      <c r="B40" s="4" t="n"/>
      <c r="C40" s="10" t="n">
        <v>0.05</v>
      </c>
      <c r="D40" s="10" t="n">
        <v>0.05</v>
      </c>
      <c r="E40" s="10" t="n">
        <v>0.05</v>
      </c>
      <c r="F40" s="9" t="inlineStr">
        <is>
          <t>Proposta da negoziare; 0 se non c'è accordo.</t>
        </is>
      </c>
    </row>
    <row r="41">
      <c r="A41" s="4" t="n"/>
      <c r="B41" s="4" t="n"/>
      <c r="C41" s="4" t="n"/>
      <c r="D41" s="4" t="n"/>
      <c r="E41" s="4" t="n"/>
      <c r="F41" s="4" t="n"/>
    </row>
    <row r="42">
      <c r="A42" s="3" t="inlineStr">
        <is>
          <t>Costi fissi annui</t>
        </is>
      </c>
      <c r="B42" s="4" t="n"/>
      <c r="C42" s="4" t="n"/>
      <c r="D42" s="4" t="n"/>
      <c r="E42" s="4" t="n"/>
      <c r="F42" s="4" t="n"/>
    </row>
    <row r="43">
      <c r="A43" s="2" t="inlineStr">
        <is>
          <t>Commercialista o servizio online per forfettari</t>
        </is>
      </c>
      <c r="B43" s="4" t="n"/>
      <c r="C43" s="13" t="n">
        <v>350</v>
      </c>
      <c r="D43" s="13" t="n">
        <v>350</v>
      </c>
      <c r="E43" s="13" t="n">
        <v>350</v>
      </c>
      <c r="F43" s="9" t="inlineStr">
        <is>
          <t>Listini 2026: 199-499 € l'anno (TaxMan, ForfettApp, FlexTax, Fiscozen).</t>
        </is>
      </c>
    </row>
    <row r="44">
      <c r="A44" s="2" t="inlineStr">
        <is>
          <t>Diritto camerale (solo se iscritto al Registro imprese)</t>
        </is>
      </c>
      <c r="B44" s="4" t="n"/>
      <c r="C44" s="13" t="n">
        <v>0</v>
      </c>
      <c r="D44" s="13" t="n">
        <v>0</v>
      </c>
      <c r="E44" s="13" t="n">
        <v>0</v>
      </c>
      <c r="F44" s="9" t="inlineStr">
        <is>
          <t>Circa 53 € l'anno se commerciante; 0 se professionista.</t>
        </is>
      </c>
    </row>
    <row r="45">
      <c r="A45" s="2" t="inlineStr">
        <is>
          <t>PEC e firma digitale</t>
        </is>
      </c>
      <c r="B45" s="4" t="n"/>
      <c r="C45" s="13" t="n">
        <v>40</v>
      </c>
      <c r="D45" s="13" t="n">
        <v>40</v>
      </c>
      <c r="E45" s="13" t="n">
        <v>40</v>
      </c>
      <c r="F45" s="9" t="inlineStr">
        <is>
          <t>Ipotesi.</t>
        </is>
      </c>
    </row>
    <row r="46">
      <c r="A46" s="2" t="inlineStr">
        <is>
          <t>Dominio .it</t>
        </is>
      </c>
      <c r="B46" s="4" t="n"/>
      <c r="C46" s="13" t="n">
        <v>15</v>
      </c>
      <c r="D46" s="13" t="n">
        <v>15</v>
      </c>
      <c r="E46" s="13" t="n">
        <v>15</v>
      </c>
      <c r="F46" s="9" t="inlineStr">
        <is>
          <t>Aruba: 11,99 € + IVA.</t>
        </is>
      </c>
    </row>
    <row r="47">
      <c r="A47" s="2" t="inlineStr">
        <is>
          <t>Cloudflare (Workers a pagamento quando servono)</t>
        </is>
      </c>
      <c r="B47" s="4" t="n"/>
      <c r="C47" s="13" t="n">
        <v>0</v>
      </c>
      <c r="D47" s="13" t="n">
        <v>60</v>
      </c>
      <c r="E47" s="13" t="n">
        <v>60</v>
      </c>
      <c r="F47" s="9" t="inlineStr">
        <is>
          <t>5 $ al mese; gratis fino a 100.000 richieste al giorno.</t>
        </is>
      </c>
    </row>
    <row r="48">
      <c r="A48" s="2" t="inlineStr">
        <is>
          <t>Termini, privacy e cookie</t>
        </is>
      </c>
      <c r="B48" s="4" t="n"/>
      <c r="C48" s="13" t="n">
        <v>60</v>
      </c>
      <c r="D48" s="13" t="n">
        <v>60</v>
      </c>
      <c r="E48" s="13" t="n">
        <v>60</v>
      </c>
      <c r="F48" s="9" t="inlineStr">
        <is>
          <t>Generatore a pagamento più controllo; ipotesi.</t>
        </is>
      </c>
    </row>
    <row r="49">
      <c r="A49" s="2" t="inlineStr">
        <is>
          <t>Volantini e stampa</t>
        </is>
      </c>
      <c r="B49" s="4" t="n"/>
      <c r="C49" s="13" t="n">
        <v>50</v>
      </c>
      <c r="D49" s="13" t="n">
        <v>80</v>
      </c>
      <c r="E49" s="13" t="n">
        <v>100</v>
      </c>
      <c r="F49" s="9" t="inlineStr">
        <is>
          <t>PressUP: 1.000 A6 da 49 € + IVA.</t>
        </is>
      </c>
    </row>
    <row r="50">
      <c r="A50" s="2" t="inlineStr">
        <is>
          <t>Strumenti vari ed email</t>
        </is>
      </c>
      <c r="B50" s="4" t="n"/>
      <c r="C50" s="13" t="n">
        <v>0</v>
      </c>
      <c r="D50" s="13" t="n">
        <v>30</v>
      </c>
      <c r="E50" s="13" t="n">
        <v>60</v>
      </c>
      <c r="F50" s="9" t="inlineStr">
        <is>
          <t>Resend gratis fino a 3.000 email al mese.</t>
        </is>
      </c>
    </row>
    <row r="51">
      <c r="A51" s="4" t="n"/>
      <c r="B51" s="4" t="n"/>
      <c r="C51" s="4" t="n"/>
      <c r="D51" s="4" t="n"/>
      <c r="E51" s="4" t="n"/>
      <c r="F51" s="4" t="n"/>
    </row>
    <row r="52">
      <c r="A52" s="3" t="inlineStr">
        <is>
          <t>Fisco e contributi (da confermare con un commercialista)</t>
        </is>
      </c>
      <c r="B52" s="4" t="n"/>
      <c r="C52" s="4" t="n"/>
      <c r="D52" s="4" t="n"/>
      <c r="E52" s="4" t="n"/>
      <c r="F52" s="4" t="n"/>
    </row>
    <row r="53">
      <c r="A53" s="2" t="inlineStr">
        <is>
          <t>Costi fissi in più se è un'impresa (camera di commercio, apertura, commercialista più caro)</t>
        </is>
      </c>
      <c r="B53" s="4" t="n"/>
      <c r="C53" s="13" t="n">
        <v>300</v>
      </c>
      <c r="D53" s="13" t="n">
        <v>300</v>
      </c>
      <c r="E53" s="13" t="n">
        <v>300</v>
      </c>
      <c r="F53" s="9" t="inlineStr">
        <is>
          <t>Diritto camerale 53 €, apertura ditta circa 150 € il primo anno, Fiscozen 599 € contro 499 €.</t>
        </is>
      </c>
    </row>
    <row r="54">
      <c r="A54" s="2" t="inlineStr">
        <is>
          <t>Coefficiente di redditività del regime forfettario</t>
        </is>
      </c>
      <c r="B54" s="4" t="n"/>
      <c r="C54" s="11" t="n">
        <v>0.67</v>
      </c>
      <c r="D54" s="11" t="n">
        <v>0.67</v>
      </c>
      <c r="E54" s="11" t="n">
        <v>0.67</v>
      </c>
      <c r="F54" s="9" t="inlineStr">
        <is>
          <t>ATECO 2025 58.29.00 (edizione di software) o 62.10.00: 67 %. Corsi 85.59.20: 78 %.</t>
        </is>
      </c>
    </row>
    <row r="55">
      <c r="A55" s="2" t="inlineStr">
        <is>
          <t>Imposta sostitutiva (primi 5 anni)</t>
        </is>
      </c>
      <c r="B55" s="4" t="n"/>
      <c r="C55" s="10" t="n">
        <v>0.05</v>
      </c>
      <c r="D55" s="10" t="n">
        <v>0.05</v>
      </c>
      <c r="E55" s="10" t="n">
        <v>0.05</v>
      </c>
      <c r="F55" s="9" t="inlineStr">
        <is>
          <t>L. 190/2014, regime forfettario startup.</t>
        </is>
      </c>
    </row>
    <row r="56">
      <c r="A56" s="2" t="inlineStr">
        <is>
          <t>Aliquota INPS Gestione Separata</t>
        </is>
      </c>
      <c r="B56" s="4" t="n"/>
      <c r="C56" s="10" t="n">
        <v>0.2607</v>
      </c>
      <c r="D56" s="10" t="n">
        <v>0.2607</v>
      </c>
      <c r="E56" s="10" t="n">
        <v>0.2607</v>
      </c>
      <c r="F56" s="9" t="inlineStr">
        <is>
          <t>Circolare INPS 8/2026.</t>
        </is>
      </c>
    </row>
    <row r="57">
      <c r="A57" s="2" t="inlineStr">
        <is>
          <t>Contributo minimo annuo INPS Commercianti (prima della riduzione)</t>
        </is>
      </c>
      <c r="B57" s="4" t="n"/>
      <c r="C57" s="13" t="n">
        <v>4611.64</v>
      </c>
      <c r="D57" s="13" t="n">
        <v>4611.64</v>
      </c>
      <c r="E57" s="13" t="n">
        <v>4611.64</v>
      </c>
      <c r="F57" s="9" t="inlineStr">
        <is>
          <t>Circolare INPS 14/2026: dovuto anche con incassi zero.</t>
        </is>
      </c>
    </row>
    <row r="58">
      <c r="A58" s="2" t="inlineStr">
        <is>
          <t>Aliquota INPS Commercianti oltre il minimale</t>
        </is>
      </c>
      <c r="B58" s="4" t="n"/>
      <c r="C58" s="10" t="n">
        <v>0.2448</v>
      </c>
      <c r="D58" s="10" t="n">
        <v>0.2448</v>
      </c>
      <c r="E58" s="10" t="n">
        <v>0.2448</v>
      </c>
      <c r="F58" s="9" t="inlineStr">
        <is>
          <t>Circolare INPS 14/2026.</t>
        </is>
      </c>
    </row>
    <row r="59">
      <c r="A59" s="2" t="inlineStr">
        <is>
          <t>Reddito minimale INPS Commercianti</t>
        </is>
      </c>
      <c r="B59" s="4" t="n"/>
      <c r="C59" s="13" t="n">
        <v>18808</v>
      </c>
      <c r="D59" s="13" t="n">
        <v>18808</v>
      </c>
      <c r="E59" s="13" t="n">
        <v>18808</v>
      </c>
      <c r="F59" s="9" t="inlineStr">
        <is>
          <t>Circolare INPS 14/2026.</t>
        </is>
      </c>
    </row>
    <row r="60">
      <c r="A60" s="2" t="inlineStr">
        <is>
          <t>Riduzione dei contributi Commercianti per i forfettari</t>
        </is>
      </c>
      <c r="B60" s="4" t="n"/>
      <c r="C60" s="10" t="n">
        <v>0.35</v>
      </c>
      <c r="D60" s="10" t="n">
        <v>0.35</v>
      </c>
      <c r="E60" s="10" t="n">
        <v>0.35</v>
      </c>
      <c r="F60" s="9" t="inlineStr">
        <is>
          <t>Su domanda all'INPS (L. 190/2014).</t>
        </is>
      </c>
    </row>
    <row r="61">
      <c r="A61" s="4" t="n"/>
      <c r="B61" s="4" t="n"/>
      <c r="C61" s="4" t="n"/>
      <c r="D61" s="4" t="n"/>
      <c r="E61" s="4" t="n"/>
      <c r="F61" s="4" t="n"/>
    </row>
    <row r="62">
      <c r="A62" s="3" t="inlineStr">
        <is>
          <t>Obiettivo personale</t>
        </is>
      </c>
      <c r="B62" s="4" t="n"/>
      <c r="C62" s="4" t="n"/>
      <c r="D62" s="4" t="n"/>
      <c r="E62" s="4" t="n"/>
      <c r="F62" s="4" t="n"/>
    </row>
    <row r="63">
      <c r="A63" s="2" t="inlineStr">
        <is>
          <t>Netto annuo per vivere a Milano</t>
        </is>
      </c>
      <c r="B63" s="4" t="n"/>
      <c r="C63" s="13" t="n">
        <v>16400</v>
      </c>
      <c r="D63" s="13" t="n">
        <v>16400</v>
      </c>
      <c r="E63" s="13" t="n">
        <v>16400</v>
      </c>
      <c r="F63" s="9" t="inlineStr">
        <is>
          <t>Stima della chat: affitto, cibo, svago, vestiti, retta.</t>
        </is>
      </c>
    </row>
    <row r="64">
      <c r="A64" s="4" t="n"/>
      <c r="B64" s="4" t="n"/>
      <c r="C64" s="4" t="n"/>
      <c r="D64" s="4" t="n"/>
      <c r="E64" s="4" t="n"/>
      <c r="F64" s="4" t="n"/>
    </row>
    <row r="65">
      <c r="A65" s="3" t="inlineStr">
        <is>
          <t>Crescita (foglio Tre anni)</t>
        </is>
      </c>
      <c r="B65" s="4" t="n"/>
      <c r="C65" s="4" t="n"/>
      <c r="D65" s="4" t="n"/>
      <c r="E65" s="4" t="n"/>
      <c r="F65" s="4" t="n"/>
    </row>
    <row r="66">
      <c r="A66" s="2" t="inlineStr">
        <is>
          <t>Aumento della quota che prova l'app, anno su anno</t>
        </is>
      </c>
      <c r="B66" s="4" t="n"/>
      <c r="C66" s="10" t="n">
        <v>0.1</v>
      </c>
      <c r="D66" s="10" t="n">
        <v>0.25</v>
      </c>
      <c r="E66" s="10" t="n">
        <v>0.4</v>
      </c>
      <c r="F66" s="9" t="inlineStr">
        <is>
          <t>Ipotesi.</t>
        </is>
      </c>
    </row>
    <row r="67">
      <c r="A67" s="2" t="inlineStr">
        <is>
          <t>Moltiplicatore della quota di candidati che prova, anno su anno</t>
        </is>
      </c>
      <c r="B67" s="4" t="n"/>
      <c r="C67" s="14" t="n">
        <v>1.5</v>
      </c>
      <c r="D67" s="14" t="n">
        <v>2</v>
      </c>
      <c r="E67" s="14" t="n">
        <v>2.5</v>
      </c>
      <c r="F67" s="9" t="inlineStr">
        <is>
          <t>Ipotesi.</t>
        </is>
      </c>
    </row>
    <row r="68">
      <c r="A68" s="2" t="inlineStr">
        <is>
          <t>Ricavi lordi da un secondo mercato dal 3° anno (es. Bicocca o TOLC)</t>
        </is>
      </c>
      <c r="B68" s="4" t="n"/>
      <c r="C68" s="13" t="n">
        <v>0</v>
      </c>
      <c r="D68" s="13" t="n">
        <v>2000</v>
      </c>
      <c r="E68" s="13" t="n">
        <v>5000</v>
      </c>
      <c r="F68" s="9" t="inlineStr">
        <is>
          <t>Ipotesi.</t>
        </is>
      </c>
    </row>
  </sheetData>
  <dataValidations count="1">
    <dataValidation sqref="C3" showDropDown="0" showInputMessage="0" showErrorMessage="0" allowBlank="0" type="list">
      <formula1>"Prudente,Base,Buono"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Conto del primo anno di vendita: gennaio-dicembre 2027</t>
        </is>
      </c>
      <c r="B1" s="4" t="n"/>
      <c r="C1" s="4" t="n"/>
      <c r="D1" s="4" t="n"/>
      <c r="E1" s="4" t="n"/>
    </row>
    <row r="2">
      <c r="A2" s="6" t="inlineStr">
        <is>
          <t>Tutte le celle sono formule sulle ipotesi. Importi in euro.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7" t="inlineStr">
        <is>
          <t>Voce</t>
        </is>
      </c>
      <c r="B4" s="7" t="inlineStr"/>
      <c r="C4" s="7" t="inlineStr">
        <is>
          <t>Prudente</t>
        </is>
      </c>
      <c r="D4" s="7" t="inlineStr">
        <is>
          <t>Base</t>
        </is>
      </c>
      <c r="E4" s="7" t="inlineStr">
        <is>
          <t>Buono</t>
        </is>
      </c>
    </row>
    <row r="5">
      <c r="A5" s="4" t="n"/>
      <c r="B5" s="4" t="n"/>
      <c r="C5" s="4" t="n"/>
      <c r="D5" s="4" t="n"/>
      <c r="E5" s="4" t="n"/>
    </row>
    <row r="6">
      <c r="A6" s="3" t="inlineStr">
        <is>
          <t>Clienti</t>
        </is>
      </c>
      <c r="B6" s="4" t="n"/>
      <c r="C6" s="4" t="n"/>
      <c r="D6" s="4" t="n"/>
      <c r="E6" s="4" t="n"/>
    </row>
    <row r="7">
      <c r="A7" s="2" t="inlineStr">
        <is>
          <t>Mercato del recupero (persone)</t>
        </is>
      </c>
      <c r="B7" s="4" t="n"/>
      <c r="C7" s="15">
        <f>Ipotesi!$C$8*Ipotesi!$C$9*(1-Ipotesi!$C$10)+Ipotesi!$C$11</f>
        <v/>
      </c>
      <c r="D7" s="15">
        <f>Ipotesi!$D$8*Ipotesi!$D$9*(1-Ipotesi!$D$10)+Ipotesi!$D$11</f>
        <v/>
      </c>
      <c r="E7" s="15">
        <f>Ipotesi!$E$8*Ipotesi!$E$9*(1-Ipotesi!$E$10)+Ipotesi!$E$11</f>
        <v/>
      </c>
    </row>
    <row r="8">
      <c r="A8" s="2" t="inlineStr">
        <is>
          <t>Finiscono il diagnostico</t>
        </is>
      </c>
      <c r="B8" s="4" t="n"/>
      <c r="C8" s="15">
        <f>C7*Ipotesi!$C$12</f>
        <v/>
      </c>
      <c r="D8" s="15">
        <f>D7*Ipotesi!$D$12</f>
        <v/>
      </c>
      <c r="E8" s="15">
        <f>E7*Ipotesi!$E$12</f>
        <v/>
      </c>
    </row>
    <row r="9">
      <c r="A9" s="2" t="inlineStr">
        <is>
          <t>Comprano il Pass (recupero)</t>
        </is>
      </c>
      <c r="B9" s="4" t="n"/>
      <c r="C9" s="15">
        <f>C8*Ipotesi!$C$13</f>
        <v/>
      </c>
      <c r="D9" s="15">
        <f>D8*Ipotesi!$D$13</f>
        <v/>
      </c>
      <c r="E9" s="15">
        <f>E8*Ipotesi!$E$13</f>
        <v/>
      </c>
    </row>
    <row r="10">
      <c r="A10" s="2" t="inlineStr">
        <is>
          <t>Candidati che provano l'app (prevenzione)</t>
        </is>
      </c>
      <c r="B10" s="4" t="n"/>
      <c r="C10" s="15">
        <f>Ipotesi!$C$16*Ipotesi!$C$17</f>
        <v/>
      </c>
      <c r="D10" s="15">
        <f>Ipotesi!$D$16*Ipotesi!$D$17</f>
        <v/>
      </c>
      <c r="E10" s="15">
        <f>Ipotesi!$E$16*Ipotesi!$E$17</f>
        <v/>
      </c>
    </row>
    <row r="11">
      <c r="A11" s="2" t="inlineStr">
        <is>
          <t>Comprano il Pass (prevenzione)</t>
        </is>
      </c>
      <c r="B11" s="4" t="n"/>
      <c r="C11" s="15">
        <f>C10*Ipotesi!$C$18</f>
        <v/>
      </c>
      <c r="D11" s="15">
        <f>D10*Ipotesi!$D$18</f>
        <v/>
      </c>
      <c r="E11" s="15">
        <f>E10*Ipotesi!$E$18</f>
        <v/>
      </c>
    </row>
    <row r="12">
      <c r="A12" s="3" t="inlineStr">
        <is>
          <t>Pass venduti in totale</t>
        </is>
      </c>
      <c r="B12" s="4" t="n"/>
      <c r="C12" s="16">
        <f>C9+C11</f>
        <v/>
      </c>
      <c r="D12" s="16">
        <f>D9+D11</f>
        <v/>
      </c>
      <c r="E12" s="16">
        <f>E9+E11</f>
        <v/>
      </c>
    </row>
    <row r="13">
      <c r="A13" s="2" t="inlineStr">
        <is>
          <t>Quota del mercato del recupero che compra</t>
        </is>
      </c>
      <c r="B13" s="4" t="n"/>
      <c r="C13" s="17">
        <f>IF(C7=0,0,C9/C7)</f>
        <v/>
      </c>
      <c r="D13" s="17">
        <f>IF(D7=0,0,D9/D7)</f>
        <v/>
      </c>
      <c r="E13" s="17">
        <f>IF(E7=0,0,E9/E7)</f>
        <v/>
      </c>
    </row>
    <row r="14">
      <c r="A14" s="4" t="n"/>
      <c r="B14" s="4" t="n"/>
      <c r="C14" s="4" t="n"/>
      <c r="D14" s="4" t="n"/>
      <c r="E14" s="4" t="n"/>
    </row>
    <row r="15">
      <c r="A15" s="3" t="inlineStr">
        <is>
          <t>Ricavi</t>
        </is>
      </c>
      <c r="B15" s="4" t="n"/>
      <c r="C15" s="4" t="n"/>
      <c r="D15" s="4" t="n"/>
      <c r="E15" s="4" t="n"/>
    </row>
    <row r="16">
      <c r="A16" s="2" t="inlineStr">
        <is>
          <t>Prezzo medio incassato per Pass, senza garanzia</t>
        </is>
      </c>
      <c r="B16" s="4" t="n"/>
      <c r="C16" s="18">
        <f>(Ipotesi!$C$23*Ipotesi!$C$22+(1-Ipotesi!$C$23)*Ipotesi!$C$21)*(1-Ipotesi!$C$24*Ipotesi!$C$25)</f>
        <v/>
      </c>
      <c r="D16" s="18">
        <f>(Ipotesi!$D$23*Ipotesi!$D$22+(1-Ipotesi!$D$23)*Ipotesi!$D$21)*(1-Ipotesi!$D$24*Ipotesi!$D$25)</f>
        <v/>
      </c>
      <c r="E16" s="18">
        <f>(Ipotesi!$E$23*Ipotesi!$E$22+(1-Ipotesi!$E$23)*Ipotesi!$E$21)*(1-Ipotesi!$E$24*Ipotesi!$E$25)</f>
        <v/>
      </c>
    </row>
    <row r="17">
      <c r="A17" s="2" t="inlineStr">
        <is>
          <t>Ricavi dai Pass</t>
        </is>
      </c>
      <c r="B17" s="4" t="n"/>
      <c r="C17" s="19">
        <f>C12*C16</f>
        <v/>
      </c>
      <c r="D17" s="19">
        <f>D12*D16</f>
        <v/>
      </c>
      <c r="E17" s="19">
        <f>E12*E16</f>
        <v/>
      </c>
    </row>
    <row r="18">
      <c r="A18" s="2" t="inlineStr">
        <is>
          <t>Ricavi dal sovrapprezzo della garanzia</t>
        </is>
      </c>
      <c r="B18" s="4" t="n"/>
      <c r="C18" s="19">
        <f>C12*Ipotesi!$C$26*Ipotesi!$C$27</f>
        <v/>
      </c>
      <c r="D18" s="19">
        <f>D12*Ipotesi!$D$26*Ipotesi!$D$27</f>
        <v/>
      </c>
      <c r="E18" s="19">
        <f>E12*Ipotesi!$E$26*Ipotesi!$E$27</f>
        <v/>
      </c>
    </row>
    <row r="19">
      <c r="A19" s="2" t="inlineStr">
        <is>
          <t>Ricavi dai corsi live</t>
        </is>
      </c>
      <c r="B19" s="4" t="n"/>
      <c r="C19" s="19">
        <f>Ipotesi!$C$31*Ipotesi!$C$32*Ipotesi!$C$33</f>
        <v/>
      </c>
      <c r="D19" s="19">
        <f>Ipotesi!$D$31*Ipotesi!$D$32*Ipotesi!$D$33</f>
        <v/>
      </c>
      <c r="E19" s="19">
        <f>Ipotesi!$E$31*Ipotesi!$E$32*Ipotesi!$E$33</f>
        <v/>
      </c>
    </row>
    <row r="20">
      <c r="A20" s="3" t="inlineStr">
        <is>
          <t>Ricavi lordi</t>
        </is>
      </c>
      <c r="B20" s="4" t="n"/>
      <c r="C20" s="20">
        <f>C17+C18+C19</f>
        <v/>
      </c>
      <c r="D20" s="20">
        <f>D17+D18+D19</f>
        <v/>
      </c>
      <c r="E20" s="20">
        <f>E17+E18+E19</f>
        <v/>
      </c>
    </row>
    <row r="21">
      <c r="A21" s="4" t="n"/>
      <c r="B21" s="4" t="n"/>
      <c r="C21" s="4" t="n"/>
      <c r="D21" s="4" t="n"/>
      <c r="E21" s="4" t="n"/>
    </row>
    <row r="22">
      <c r="A22" s="3" t="inlineStr">
        <is>
          <t>Costi variabili</t>
        </is>
      </c>
      <c r="B22" s="4" t="n"/>
      <c r="C22" s="4" t="n"/>
      <c r="D22" s="4" t="n"/>
      <c r="E22" s="4" t="n"/>
    </row>
    <row r="23">
      <c r="A23" s="2" t="inlineStr">
        <is>
          <t>Commissioni Stripe</t>
        </is>
      </c>
      <c r="B23" s="4" t="n"/>
      <c r="C23" s="19">
        <f>C20*Ipotesi!$C$37+(C12+Ipotesi!$C$31*Ipotesi!$C$32)*Ipotesi!$C$38</f>
        <v/>
      </c>
      <c r="D23" s="19">
        <f>D20*Ipotesi!$D$37+(D12+Ipotesi!$D$31*Ipotesi!$D$32)*Ipotesi!$D$38</f>
        <v/>
      </c>
      <c r="E23" s="19">
        <f>E20*Ipotesi!$E$37+(E12+Ipotesi!$E$31*Ipotesi!$E$32)*Ipotesi!$E$38</f>
        <v/>
      </c>
    </row>
    <row r="24">
      <c r="A24" s="2" t="inlineStr">
        <is>
          <t>Recessi e contestazioni</t>
        </is>
      </c>
      <c r="B24" s="4" t="n"/>
      <c r="C24" s="19">
        <f>C20*Ipotesi!$C$39</f>
        <v/>
      </c>
      <c r="D24" s="19">
        <f>D20*Ipotesi!$D$39</f>
        <v/>
      </c>
      <c r="E24" s="19">
        <f>E20*Ipotesi!$E$39</f>
        <v/>
      </c>
    </row>
    <row r="25">
      <c r="A25" s="2" t="inlineStr">
        <is>
          <t>Rimborsi della garanzia</t>
        </is>
      </c>
      <c r="B25" s="4" t="n"/>
      <c r="C25" s="19">
        <f>C12*Ipotesi!$C$26*Ipotesi!$C$28*(C16+Ipotesi!$C$27)</f>
        <v/>
      </c>
      <c r="D25" s="19">
        <f>D12*Ipotesi!$D$26*Ipotesi!$D$28*(D16+Ipotesi!$D$27)</f>
        <v/>
      </c>
      <c r="E25" s="19">
        <f>E12*Ipotesi!$E$26*Ipotesi!$E$28*(E16+Ipotesi!$E$27)</f>
        <v/>
      </c>
    </row>
    <row r="26">
      <c r="A26" s="2" t="inlineStr">
        <is>
          <t>Commissioni agli ambassador</t>
        </is>
      </c>
      <c r="B26" s="4" t="n"/>
      <c r="C26" s="19">
        <f>C17*Ipotesi!$C$29*Ipotesi!$C$30</f>
        <v/>
      </c>
      <c r="D26" s="19">
        <f>D17*Ipotesi!$D$29*Ipotesi!$D$30</f>
        <v/>
      </c>
      <c r="E26" s="19">
        <f>E17*Ipotesi!$E$29*Ipotesi!$E$30</f>
        <v/>
      </c>
    </row>
    <row r="27">
      <c r="A27" s="2" t="inlineStr">
        <is>
          <t>Quota alla community</t>
        </is>
      </c>
      <c r="B27" s="4" t="n"/>
      <c r="C27" s="19">
        <f>C20*Ipotesi!$C$40</f>
        <v/>
      </c>
      <c r="D27" s="19">
        <f>D20*Ipotesi!$D$40</f>
        <v/>
      </c>
      <c r="E27" s="19">
        <f>E20*Ipotesi!$E$40</f>
        <v/>
      </c>
    </row>
    <row r="28">
      <c r="A28" s="2" t="inlineStr">
        <is>
          <t>Docenti dei corsi live</t>
        </is>
      </c>
      <c r="B28" s="4" t="n"/>
      <c r="C28" s="19">
        <f>Ipotesi!$C$31*Ipotesi!$C$34</f>
        <v/>
      </c>
      <c r="D28" s="19">
        <f>Ipotesi!$D$31*Ipotesi!$D$34</f>
        <v/>
      </c>
      <c r="E28" s="19">
        <f>Ipotesi!$E$31*Ipotesi!$E$34</f>
        <v/>
      </c>
    </row>
    <row r="29">
      <c r="A29" s="3" t="inlineStr">
        <is>
          <t>Totale costi variabili</t>
        </is>
      </c>
      <c r="B29" s="4" t="n"/>
      <c r="C29" s="20">
        <f>C23+C24+C25+C26+C27+C28</f>
        <v/>
      </c>
      <c r="D29" s="20">
        <f>D23+D24+D25+D26+D27+D28</f>
        <v/>
      </c>
      <c r="E29" s="20">
        <f>E23+E24+E25+E26+E27+E28</f>
        <v/>
      </c>
    </row>
    <row r="30">
      <c r="A30" s="4" t="n"/>
      <c r="B30" s="4" t="n"/>
      <c r="C30" s="4" t="n"/>
      <c r="D30" s="4" t="n"/>
      <c r="E30" s="4" t="n"/>
    </row>
    <row r="31">
      <c r="A31" s="3" t="inlineStr">
        <is>
          <t>Costi fissi</t>
        </is>
      </c>
      <c r="B31" s="4" t="n"/>
      <c r="C31" s="4" t="n"/>
      <c r="D31" s="4" t="n"/>
      <c r="E31" s="4" t="n"/>
    </row>
    <row r="32">
      <c r="A32" s="3" t="inlineStr">
        <is>
          <t>Totale costi fissi</t>
        </is>
      </c>
      <c r="B32" s="4" t="n"/>
      <c r="C32" s="20">
        <f>Ipotesi!$C$43+Ipotesi!$C$44+Ipotesi!$C$45+Ipotesi!$C$46+Ipotesi!$C$47+Ipotesi!$C$48+Ipotesi!$C$49+Ipotesi!$C$50</f>
        <v/>
      </c>
      <c r="D32" s="20">
        <f>Ipotesi!$D$43+Ipotesi!$D$44+Ipotesi!$D$45+Ipotesi!$D$46+Ipotesi!$D$47+Ipotesi!$D$48+Ipotesi!$D$49+Ipotesi!$D$50</f>
        <v/>
      </c>
      <c r="E32" s="20">
        <f>Ipotesi!$E$43+Ipotesi!$E$44+Ipotesi!$E$45+Ipotesi!$E$46+Ipotesi!$E$47+Ipotesi!$E$48+Ipotesi!$E$49+Ipotesi!$E$50</f>
        <v/>
      </c>
    </row>
    <row r="33">
      <c r="A33" s="4" t="n"/>
      <c r="B33" s="4" t="n"/>
      <c r="C33" s="4" t="n"/>
      <c r="D33" s="4" t="n"/>
      <c r="E33" s="4" t="n"/>
    </row>
    <row r="34">
      <c r="A34" s="3" t="inlineStr">
        <is>
          <t>Risultato</t>
        </is>
      </c>
      <c r="B34" s="4" t="n"/>
      <c r="C34" s="4" t="n"/>
      <c r="D34" s="4" t="n"/>
      <c r="E34" s="4" t="n"/>
    </row>
    <row r="35">
      <c r="A35" s="3" t="inlineStr">
        <is>
          <t>Margine prima di contributi e imposta</t>
        </is>
      </c>
      <c r="B35" s="4" t="n"/>
      <c r="C35" s="20">
        <f>C20-C29-C32</f>
        <v/>
      </c>
      <c r="D35" s="20">
        <f>D20-D29-D32</f>
        <v/>
      </c>
      <c r="E35" s="20">
        <f>E20-E29-E32</f>
        <v/>
      </c>
    </row>
    <row r="36">
      <c r="A36" s="2" t="inlineStr">
        <is>
          <t>Ricavi fiscali (incassi meno rimborsi e recessi)</t>
        </is>
      </c>
      <c r="B36" s="4" t="n"/>
      <c r="C36" s="19">
        <f>C20-C24-C25</f>
        <v/>
      </c>
      <c r="D36" s="19">
        <f>D20-D24-D25</f>
        <v/>
      </c>
      <c r="E36" s="19">
        <f>E20-E24-E25</f>
        <v/>
      </c>
    </row>
    <row r="37">
      <c r="A37" s="2" t="inlineStr">
        <is>
          <t>Reddito forfettario (ricavi fiscali × coefficiente)</t>
        </is>
      </c>
      <c r="B37" s="4" t="n"/>
      <c r="C37" s="19">
        <f>C36*Ipotesi!$C$54</f>
        <v/>
      </c>
      <c r="D37" s="19">
        <f>D36*Ipotesi!$D$54</f>
        <v/>
      </c>
      <c r="E37" s="19">
        <f>E36*Ipotesi!$E$54</f>
        <v/>
      </c>
    </row>
    <row r="38">
      <c r="A38" s="2" t="inlineStr">
        <is>
          <t>Contributi INPS se Gestione Separata (professionista)</t>
        </is>
      </c>
      <c r="B38" s="4" t="n"/>
      <c r="C38" s="19">
        <f>C37*Ipotesi!$C$56</f>
        <v/>
      </c>
      <c r="D38" s="19">
        <f>D37*Ipotesi!$D$56</f>
        <v/>
      </c>
      <c r="E38" s="19">
        <f>E37*Ipotesi!$E$56</f>
        <v/>
      </c>
    </row>
    <row r="39">
      <c r="A39" s="2" t="inlineStr">
        <is>
          <t>Imposta sostitutiva se Gestione Separata</t>
        </is>
      </c>
      <c r="B39" s="4" t="n"/>
      <c r="C39" s="19">
        <f>MAX(0,C37-C38)*Ipotesi!$C$55</f>
        <v/>
      </c>
      <c r="D39" s="19">
        <f>MAX(0,D37-D38)*Ipotesi!$D$55</f>
        <v/>
      </c>
      <c r="E39" s="19">
        <f>MAX(0,E37-E38)*Ipotesi!$E$55</f>
        <v/>
      </c>
    </row>
    <row r="40">
      <c r="A40" s="3" t="inlineStr">
        <is>
          <t>Utile netto in tasca se Gestione Separata</t>
        </is>
      </c>
      <c r="B40" s="4" t="n"/>
      <c r="C40" s="20">
        <f>C35-C38-C39</f>
        <v/>
      </c>
      <c r="D40" s="20">
        <f>D35-D38-D39</f>
        <v/>
      </c>
      <c r="E40" s="20">
        <f>E35-E38-E39</f>
        <v/>
      </c>
    </row>
    <row r="41">
      <c r="A41" s="2" t="inlineStr">
        <is>
          <t>Contributi INPS se Commercianti (impresa)</t>
        </is>
      </c>
      <c r="B41" s="4" t="n"/>
      <c r="C41" s="19">
        <f>(MAX(Ipotesi!$C$57,Ipotesi!$C$57+MAX(0,C37-Ipotesi!$C$59)*Ipotesi!$C$58))*(1-Ipotesi!$C$60)</f>
        <v/>
      </c>
      <c r="D41" s="19">
        <f>(MAX(Ipotesi!$D$57,Ipotesi!$D$57+MAX(0,D37-Ipotesi!$D$59)*Ipotesi!$D$58))*(1-Ipotesi!$D$60)</f>
        <v/>
      </c>
      <c r="E41" s="19">
        <f>(MAX(Ipotesi!$E$57,Ipotesi!$E$57+MAX(0,E37-Ipotesi!$E$59)*Ipotesi!$E$58))*(1-Ipotesi!$E$60)</f>
        <v/>
      </c>
    </row>
    <row r="42">
      <c r="A42" s="2" t="inlineStr">
        <is>
          <t>Imposta sostitutiva se Commercianti</t>
        </is>
      </c>
      <c r="B42" s="4" t="n"/>
      <c r="C42" s="19">
        <f>MAX(0,C37-C41)*Ipotesi!$C$55</f>
        <v/>
      </c>
      <c r="D42" s="19">
        <f>MAX(0,D37-D41)*Ipotesi!$D$55</f>
        <v/>
      </c>
      <c r="E42" s="19">
        <f>MAX(0,E37-E41)*Ipotesi!$E$55</f>
        <v/>
      </c>
    </row>
    <row r="43">
      <c r="A43" s="3" t="inlineStr">
        <is>
          <t>Utile netto in tasca se Commercianti</t>
        </is>
      </c>
      <c r="B43" s="4" t="n"/>
      <c r="C43" s="20">
        <f>C35-Ipotesi!$C$53-C41-C42</f>
        <v/>
      </c>
      <c r="D43" s="20">
        <f>D35-Ipotesi!$D$53-D41-D42</f>
        <v/>
      </c>
      <c r="E43" s="20">
        <f>E35-Ipotesi!$E$53-E41-E42</f>
        <v/>
      </c>
    </row>
    <row r="44">
      <c r="A44" s="2" t="inlineStr">
        <is>
          <t>Utile netto medio al mese se Gestione Separata</t>
        </is>
      </c>
      <c r="B44" s="4" t="n"/>
      <c r="C44" s="19">
        <f>C40/12</f>
        <v/>
      </c>
      <c r="D44" s="19">
        <f>D40/12</f>
        <v/>
      </c>
      <c r="E44" s="19">
        <f>E40/12</f>
        <v/>
      </c>
    </row>
    <row r="45">
      <c r="A45" s="3" t="inlineStr">
        <is>
          <t>Quota dell'obiettivo personale coperta (Gestione Separata)</t>
        </is>
      </c>
      <c r="B45" s="4" t="n"/>
      <c r="C45" s="21">
        <f>C40/Ipotesi!$C$63</f>
        <v/>
      </c>
      <c r="D45" s="21">
        <f>D40/Ipotesi!$D$63</f>
        <v/>
      </c>
      <c r="E45" s="21">
        <f>E40/Ipotesi!$E$63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36" customWidth="1" min="1" max="1"/>
    <col width="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Il 2027 mese per mese, scenario scelto in Ipotesi!C3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6" t="inlineStr">
        <is>
          <t>I pesi (in blu) dicono in che mese cadono le vendite: devono sommare a 100 %.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7" t="inlineStr">
        <is>
          <t>Voce</t>
        </is>
      </c>
      <c r="B4" s="4" t="n"/>
      <c r="C4" s="22" t="inlineStr">
        <is>
          <t>gen</t>
        </is>
      </c>
      <c r="D4" s="22" t="inlineStr">
        <is>
          <t>feb</t>
        </is>
      </c>
      <c r="E4" s="22" t="inlineStr">
        <is>
          <t>mar</t>
        </is>
      </c>
      <c r="F4" s="22" t="inlineStr">
        <is>
          <t>apr</t>
        </is>
      </c>
      <c r="G4" s="22" t="inlineStr">
        <is>
          <t>mag</t>
        </is>
      </c>
      <c r="H4" s="22" t="inlineStr">
        <is>
          <t>giu</t>
        </is>
      </c>
      <c r="I4" s="22" t="inlineStr">
        <is>
          <t>lug</t>
        </is>
      </c>
      <c r="J4" s="22" t="inlineStr">
        <is>
          <t>ago</t>
        </is>
      </c>
      <c r="K4" s="22" t="inlineStr">
        <is>
          <t>set</t>
        </is>
      </c>
      <c r="L4" s="22" t="inlineStr">
        <is>
          <t>ott</t>
        </is>
      </c>
      <c r="M4" s="22" t="inlineStr">
        <is>
          <t>nov</t>
        </is>
      </c>
      <c r="N4" s="22" t="inlineStr">
        <is>
          <t>dic</t>
        </is>
      </c>
      <c r="O4" s="7" t="inlineStr">
        <is>
          <t>Totale</t>
        </is>
      </c>
    </row>
    <row r="5">
      <c r="A5" s="2" t="inlineStr">
        <is>
          <t>Peso delle vendite di recupero</t>
        </is>
      </c>
      <c r="B5" s="4" t="n"/>
      <c r="C5" s="10" t="n">
        <v>0.1</v>
      </c>
      <c r="D5" s="10" t="n">
        <v>0.14</v>
      </c>
      <c r="E5" s="10" t="n">
        <v>0.06</v>
      </c>
      <c r="F5" s="10" t="n">
        <v>0.02</v>
      </c>
      <c r="G5" s="10" t="n">
        <v>0.02</v>
      </c>
      <c r="H5" s="10" t="n">
        <v>0.05</v>
      </c>
      <c r="I5" s="10" t="n">
        <v>0.14</v>
      </c>
      <c r="J5" s="10" t="n">
        <v>0.12</v>
      </c>
      <c r="K5" s="10" t="n">
        <v>0.22</v>
      </c>
      <c r="L5" s="10" t="n">
        <v>0.08</v>
      </c>
      <c r="M5" s="10" t="n">
        <v>0.04</v>
      </c>
      <c r="N5" s="10" t="n">
        <v>0.01</v>
      </c>
      <c r="O5" s="23">
        <f>SUM(C5:N5)</f>
        <v/>
      </c>
    </row>
    <row r="6">
      <c r="A6" s="2" t="inlineStr">
        <is>
          <t>Peso delle vendite di prevenzione</t>
        </is>
      </c>
      <c r="B6" s="4" t="n"/>
      <c r="C6" s="10" t="n">
        <v>0.1</v>
      </c>
      <c r="D6" s="10" t="n">
        <v>0.2</v>
      </c>
      <c r="E6" s="10" t="n">
        <v>0.25</v>
      </c>
      <c r="F6" s="10" t="n">
        <v>0.25</v>
      </c>
      <c r="G6" s="10" t="n">
        <v>0.2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23">
        <f>SUM(C6:N6)</f>
        <v/>
      </c>
    </row>
    <row r="7">
      <c r="A7" s="2" t="inlineStr">
        <is>
          <t>Peso dei corsi live</t>
        </is>
      </c>
      <c r="B7" s="4" t="n"/>
      <c r="C7" s="10" t="n">
        <v>0.5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0.5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23">
        <f>SUM(C7:N7)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inlineStr">
        <is>
          <t>Pass venduti</t>
        </is>
      </c>
      <c r="B9" s="4" t="n"/>
      <c r="C9" s="15">
        <f>INDEX('Anno 2027'!$C$9:$E$9,Ipotesi!$D$3)*C5+INDEX('Anno 2027'!$C$11:$E$11,Ipotesi!$D$3)*C6</f>
        <v/>
      </c>
      <c r="D9" s="15">
        <f>INDEX('Anno 2027'!$C$9:$E$9,Ipotesi!$D$3)*D5+INDEX('Anno 2027'!$C$11:$E$11,Ipotesi!$D$3)*D6</f>
        <v/>
      </c>
      <c r="E9" s="15">
        <f>INDEX('Anno 2027'!$C$9:$E$9,Ipotesi!$D$3)*E5+INDEX('Anno 2027'!$C$11:$E$11,Ipotesi!$D$3)*E6</f>
        <v/>
      </c>
      <c r="F9" s="15">
        <f>INDEX('Anno 2027'!$C$9:$E$9,Ipotesi!$D$3)*F5+INDEX('Anno 2027'!$C$11:$E$11,Ipotesi!$D$3)*F6</f>
        <v/>
      </c>
      <c r="G9" s="15">
        <f>INDEX('Anno 2027'!$C$9:$E$9,Ipotesi!$D$3)*G5+INDEX('Anno 2027'!$C$11:$E$11,Ipotesi!$D$3)*G6</f>
        <v/>
      </c>
      <c r="H9" s="15">
        <f>INDEX('Anno 2027'!$C$9:$E$9,Ipotesi!$D$3)*H5+INDEX('Anno 2027'!$C$11:$E$11,Ipotesi!$D$3)*H6</f>
        <v/>
      </c>
      <c r="I9" s="15">
        <f>INDEX('Anno 2027'!$C$9:$E$9,Ipotesi!$D$3)*I5+INDEX('Anno 2027'!$C$11:$E$11,Ipotesi!$D$3)*I6</f>
        <v/>
      </c>
      <c r="J9" s="15">
        <f>INDEX('Anno 2027'!$C$9:$E$9,Ipotesi!$D$3)*J5+INDEX('Anno 2027'!$C$11:$E$11,Ipotesi!$D$3)*J6</f>
        <v/>
      </c>
      <c r="K9" s="15">
        <f>INDEX('Anno 2027'!$C$9:$E$9,Ipotesi!$D$3)*K5+INDEX('Anno 2027'!$C$11:$E$11,Ipotesi!$D$3)*K6</f>
        <v/>
      </c>
      <c r="L9" s="15">
        <f>INDEX('Anno 2027'!$C$9:$E$9,Ipotesi!$D$3)*L5+INDEX('Anno 2027'!$C$11:$E$11,Ipotesi!$D$3)*L6</f>
        <v/>
      </c>
      <c r="M9" s="15">
        <f>INDEX('Anno 2027'!$C$9:$E$9,Ipotesi!$D$3)*M5+INDEX('Anno 2027'!$C$11:$E$11,Ipotesi!$D$3)*M6</f>
        <v/>
      </c>
      <c r="N9" s="15">
        <f>INDEX('Anno 2027'!$C$9:$E$9,Ipotesi!$D$3)*N5+INDEX('Anno 2027'!$C$11:$E$11,Ipotesi!$D$3)*N6</f>
        <v/>
      </c>
      <c r="O9" s="24">
        <f>SUM(C9:N9)</f>
        <v/>
      </c>
    </row>
    <row r="10">
      <c r="A10" s="3" t="inlineStr">
        <is>
          <t>Ricavi lordi</t>
        </is>
      </c>
      <c r="B10" s="4" t="n"/>
      <c r="C10" s="19">
        <f>(INDEX('Anno 2027'!$C$17:$E$17,Ipotesi!$D$3)+INDEX('Anno 2027'!$C$18:$E$18,Ipotesi!$D$3))*IF(INDEX('Anno 2027'!$C$12:$E$12,Ipotesi!$D$3)=0,0,C9/INDEX('Anno 2027'!$C$12:$E$12,Ipotesi!$D$3))+INDEX('Anno 2027'!$C$19:$E$19,Ipotesi!$D$3)*C7</f>
        <v/>
      </c>
      <c r="D10" s="19">
        <f>(INDEX('Anno 2027'!$C$17:$E$17,Ipotesi!$D$3)+INDEX('Anno 2027'!$C$18:$E$18,Ipotesi!$D$3))*IF(INDEX('Anno 2027'!$C$12:$E$12,Ipotesi!$D$3)=0,0,D9/INDEX('Anno 2027'!$C$12:$E$12,Ipotesi!$D$3))+INDEX('Anno 2027'!$C$19:$E$19,Ipotesi!$D$3)*D7</f>
        <v/>
      </c>
      <c r="E10" s="19">
        <f>(INDEX('Anno 2027'!$C$17:$E$17,Ipotesi!$D$3)+INDEX('Anno 2027'!$C$18:$E$18,Ipotesi!$D$3))*IF(INDEX('Anno 2027'!$C$12:$E$12,Ipotesi!$D$3)=0,0,E9/INDEX('Anno 2027'!$C$12:$E$12,Ipotesi!$D$3))+INDEX('Anno 2027'!$C$19:$E$19,Ipotesi!$D$3)*E7</f>
        <v/>
      </c>
      <c r="F10" s="19">
        <f>(INDEX('Anno 2027'!$C$17:$E$17,Ipotesi!$D$3)+INDEX('Anno 2027'!$C$18:$E$18,Ipotesi!$D$3))*IF(INDEX('Anno 2027'!$C$12:$E$12,Ipotesi!$D$3)=0,0,F9/INDEX('Anno 2027'!$C$12:$E$12,Ipotesi!$D$3))+INDEX('Anno 2027'!$C$19:$E$19,Ipotesi!$D$3)*F7</f>
        <v/>
      </c>
      <c r="G10" s="19">
        <f>(INDEX('Anno 2027'!$C$17:$E$17,Ipotesi!$D$3)+INDEX('Anno 2027'!$C$18:$E$18,Ipotesi!$D$3))*IF(INDEX('Anno 2027'!$C$12:$E$12,Ipotesi!$D$3)=0,0,G9/INDEX('Anno 2027'!$C$12:$E$12,Ipotesi!$D$3))+INDEX('Anno 2027'!$C$19:$E$19,Ipotesi!$D$3)*G7</f>
        <v/>
      </c>
      <c r="H10" s="19">
        <f>(INDEX('Anno 2027'!$C$17:$E$17,Ipotesi!$D$3)+INDEX('Anno 2027'!$C$18:$E$18,Ipotesi!$D$3))*IF(INDEX('Anno 2027'!$C$12:$E$12,Ipotesi!$D$3)=0,0,H9/INDEX('Anno 2027'!$C$12:$E$12,Ipotesi!$D$3))+INDEX('Anno 2027'!$C$19:$E$19,Ipotesi!$D$3)*H7</f>
        <v/>
      </c>
      <c r="I10" s="19">
        <f>(INDEX('Anno 2027'!$C$17:$E$17,Ipotesi!$D$3)+INDEX('Anno 2027'!$C$18:$E$18,Ipotesi!$D$3))*IF(INDEX('Anno 2027'!$C$12:$E$12,Ipotesi!$D$3)=0,0,I9/INDEX('Anno 2027'!$C$12:$E$12,Ipotesi!$D$3))+INDEX('Anno 2027'!$C$19:$E$19,Ipotesi!$D$3)*I7</f>
        <v/>
      </c>
      <c r="J10" s="19">
        <f>(INDEX('Anno 2027'!$C$17:$E$17,Ipotesi!$D$3)+INDEX('Anno 2027'!$C$18:$E$18,Ipotesi!$D$3))*IF(INDEX('Anno 2027'!$C$12:$E$12,Ipotesi!$D$3)=0,0,J9/INDEX('Anno 2027'!$C$12:$E$12,Ipotesi!$D$3))+INDEX('Anno 2027'!$C$19:$E$19,Ipotesi!$D$3)*J7</f>
        <v/>
      </c>
      <c r="K10" s="19">
        <f>(INDEX('Anno 2027'!$C$17:$E$17,Ipotesi!$D$3)+INDEX('Anno 2027'!$C$18:$E$18,Ipotesi!$D$3))*IF(INDEX('Anno 2027'!$C$12:$E$12,Ipotesi!$D$3)=0,0,K9/INDEX('Anno 2027'!$C$12:$E$12,Ipotesi!$D$3))+INDEX('Anno 2027'!$C$19:$E$19,Ipotesi!$D$3)*K7</f>
        <v/>
      </c>
      <c r="L10" s="19">
        <f>(INDEX('Anno 2027'!$C$17:$E$17,Ipotesi!$D$3)+INDEX('Anno 2027'!$C$18:$E$18,Ipotesi!$D$3))*IF(INDEX('Anno 2027'!$C$12:$E$12,Ipotesi!$D$3)=0,0,L9/INDEX('Anno 2027'!$C$12:$E$12,Ipotesi!$D$3))+INDEX('Anno 2027'!$C$19:$E$19,Ipotesi!$D$3)*L7</f>
        <v/>
      </c>
      <c r="M10" s="19">
        <f>(INDEX('Anno 2027'!$C$17:$E$17,Ipotesi!$D$3)+INDEX('Anno 2027'!$C$18:$E$18,Ipotesi!$D$3))*IF(INDEX('Anno 2027'!$C$12:$E$12,Ipotesi!$D$3)=0,0,M9/INDEX('Anno 2027'!$C$12:$E$12,Ipotesi!$D$3))+INDEX('Anno 2027'!$C$19:$E$19,Ipotesi!$D$3)*M7</f>
        <v/>
      </c>
      <c r="N10" s="19">
        <f>(INDEX('Anno 2027'!$C$17:$E$17,Ipotesi!$D$3)+INDEX('Anno 2027'!$C$18:$E$18,Ipotesi!$D$3))*IF(INDEX('Anno 2027'!$C$12:$E$12,Ipotesi!$D$3)=0,0,N9/INDEX('Anno 2027'!$C$12:$E$12,Ipotesi!$D$3))+INDEX('Anno 2027'!$C$19:$E$19,Ipotesi!$D$3)*N7</f>
        <v/>
      </c>
      <c r="O10" s="25">
        <f>SUM(C10:N10)</f>
        <v/>
      </c>
    </row>
    <row r="11">
      <c r="A11" s="2" t="inlineStr">
        <is>
          <t>Costi variabili</t>
        </is>
      </c>
      <c r="B11" s="4" t="n"/>
      <c r="C11" s="19">
        <f>IF(INDEX('Anno 2027'!$C$20:$E$20,Ipotesi!$D$3)=0,0,INDEX('Anno 2027'!$C$29:$E$29,Ipotesi!$D$3)*C10/INDEX('Anno 2027'!$C$20:$E$20,Ipotesi!$D$3))</f>
        <v/>
      </c>
      <c r="D11" s="19">
        <f>IF(INDEX('Anno 2027'!$C$20:$E$20,Ipotesi!$D$3)=0,0,INDEX('Anno 2027'!$C$29:$E$29,Ipotesi!$D$3)*D10/INDEX('Anno 2027'!$C$20:$E$20,Ipotesi!$D$3))</f>
        <v/>
      </c>
      <c r="E11" s="19">
        <f>IF(INDEX('Anno 2027'!$C$20:$E$20,Ipotesi!$D$3)=0,0,INDEX('Anno 2027'!$C$29:$E$29,Ipotesi!$D$3)*E10/INDEX('Anno 2027'!$C$20:$E$20,Ipotesi!$D$3))</f>
        <v/>
      </c>
      <c r="F11" s="19">
        <f>IF(INDEX('Anno 2027'!$C$20:$E$20,Ipotesi!$D$3)=0,0,INDEX('Anno 2027'!$C$29:$E$29,Ipotesi!$D$3)*F10/INDEX('Anno 2027'!$C$20:$E$20,Ipotesi!$D$3))</f>
        <v/>
      </c>
      <c r="G11" s="19">
        <f>IF(INDEX('Anno 2027'!$C$20:$E$20,Ipotesi!$D$3)=0,0,INDEX('Anno 2027'!$C$29:$E$29,Ipotesi!$D$3)*G10/INDEX('Anno 2027'!$C$20:$E$20,Ipotesi!$D$3))</f>
        <v/>
      </c>
      <c r="H11" s="19">
        <f>IF(INDEX('Anno 2027'!$C$20:$E$20,Ipotesi!$D$3)=0,0,INDEX('Anno 2027'!$C$29:$E$29,Ipotesi!$D$3)*H10/INDEX('Anno 2027'!$C$20:$E$20,Ipotesi!$D$3))</f>
        <v/>
      </c>
      <c r="I11" s="19">
        <f>IF(INDEX('Anno 2027'!$C$20:$E$20,Ipotesi!$D$3)=0,0,INDEX('Anno 2027'!$C$29:$E$29,Ipotesi!$D$3)*I10/INDEX('Anno 2027'!$C$20:$E$20,Ipotesi!$D$3))</f>
        <v/>
      </c>
      <c r="J11" s="19">
        <f>IF(INDEX('Anno 2027'!$C$20:$E$20,Ipotesi!$D$3)=0,0,INDEX('Anno 2027'!$C$29:$E$29,Ipotesi!$D$3)*J10/INDEX('Anno 2027'!$C$20:$E$20,Ipotesi!$D$3))</f>
        <v/>
      </c>
      <c r="K11" s="19">
        <f>IF(INDEX('Anno 2027'!$C$20:$E$20,Ipotesi!$D$3)=0,0,INDEX('Anno 2027'!$C$29:$E$29,Ipotesi!$D$3)*K10/INDEX('Anno 2027'!$C$20:$E$20,Ipotesi!$D$3))</f>
        <v/>
      </c>
      <c r="L11" s="19">
        <f>IF(INDEX('Anno 2027'!$C$20:$E$20,Ipotesi!$D$3)=0,0,INDEX('Anno 2027'!$C$29:$E$29,Ipotesi!$D$3)*L10/INDEX('Anno 2027'!$C$20:$E$20,Ipotesi!$D$3))</f>
        <v/>
      </c>
      <c r="M11" s="19">
        <f>IF(INDEX('Anno 2027'!$C$20:$E$20,Ipotesi!$D$3)=0,0,INDEX('Anno 2027'!$C$29:$E$29,Ipotesi!$D$3)*M10/INDEX('Anno 2027'!$C$20:$E$20,Ipotesi!$D$3))</f>
        <v/>
      </c>
      <c r="N11" s="19">
        <f>IF(INDEX('Anno 2027'!$C$20:$E$20,Ipotesi!$D$3)=0,0,INDEX('Anno 2027'!$C$29:$E$29,Ipotesi!$D$3)*N10/INDEX('Anno 2027'!$C$20:$E$20,Ipotesi!$D$3))</f>
        <v/>
      </c>
      <c r="O11" s="25">
        <f>SUM(C11:N11)</f>
        <v/>
      </c>
    </row>
    <row r="12">
      <c r="A12" s="2" t="inlineStr">
        <is>
          <t>Costi fissi (un dodicesimo)</t>
        </is>
      </c>
      <c r="B12" s="4" t="n"/>
      <c r="C12" s="19">
        <f>INDEX('Anno 2027'!$C$32:$E$32,Ipotesi!$D$3)/12</f>
        <v/>
      </c>
      <c r="D12" s="19">
        <f>INDEX('Anno 2027'!$C$32:$E$32,Ipotesi!$D$3)/12</f>
        <v/>
      </c>
      <c r="E12" s="19">
        <f>INDEX('Anno 2027'!$C$32:$E$32,Ipotesi!$D$3)/12</f>
        <v/>
      </c>
      <c r="F12" s="19">
        <f>INDEX('Anno 2027'!$C$32:$E$32,Ipotesi!$D$3)/12</f>
        <v/>
      </c>
      <c r="G12" s="19">
        <f>INDEX('Anno 2027'!$C$32:$E$32,Ipotesi!$D$3)/12</f>
        <v/>
      </c>
      <c r="H12" s="19">
        <f>INDEX('Anno 2027'!$C$32:$E$32,Ipotesi!$D$3)/12</f>
        <v/>
      </c>
      <c r="I12" s="19">
        <f>INDEX('Anno 2027'!$C$32:$E$32,Ipotesi!$D$3)/12</f>
        <v/>
      </c>
      <c r="J12" s="19">
        <f>INDEX('Anno 2027'!$C$32:$E$32,Ipotesi!$D$3)/12</f>
        <v/>
      </c>
      <c r="K12" s="19">
        <f>INDEX('Anno 2027'!$C$32:$E$32,Ipotesi!$D$3)/12</f>
        <v/>
      </c>
      <c r="L12" s="19">
        <f>INDEX('Anno 2027'!$C$32:$E$32,Ipotesi!$D$3)/12</f>
        <v/>
      </c>
      <c r="M12" s="19">
        <f>INDEX('Anno 2027'!$C$32:$E$32,Ipotesi!$D$3)/12</f>
        <v/>
      </c>
      <c r="N12" s="19">
        <f>INDEX('Anno 2027'!$C$32:$E$32,Ipotesi!$D$3)/12</f>
        <v/>
      </c>
      <c r="O12" s="25">
        <f>SUM(C12:N12)</f>
        <v/>
      </c>
    </row>
    <row r="13">
      <c r="A13" s="3" t="inlineStr">
        <is>
          <t>Margine del mese</t>
        </is>
      </c>
      <c r="B13" s="4" t="n"/>
      <c r="C13" s="19">
        <f>C10-C11-C12</f>
        <v/>
      </c>
      <c r="D13" s="19">
        <f>D10-D11-D12</f>
        <v/>
      </c>
      <c r="E13" s="19">
        <f>E10-E11-E12</f>
        <v/>
      </c>
      <c r="F13" s="19">
        <f>F10-F11-F12</f>
        <v/>
      </c>
      <c r="G13" s="19">
        <f>G10-G11-G12</f>
        <v/>
      </c>
      <c r="H13" s="19">
        <f>H10-H11-H12</f>
        <v/>
      </c>
      <c r="I13" s="19">
        <f>I10-I11-I12</f>
        <v/>
      </c>
      <c r="J13" s="19">
        <f>J10-J11-J12</f>
        <v/>
      </c>
      <c r="K13" s="19">
        <f>K10-K11-K12</f>
        <v/>
      </c>
      <c r="L13" s="19">
        <f>L10-L11-L12</f>
        <v/>
      </c>
      <c r="M13" s="19">
        <f>M10-M11-M12</f>
        <v/>
      </c>
      <c r="N13" s="19">
        <f>N10-N11-N12</f>
        <v/>
      </c>
      <c r="O13" s="25">
        <f>SUM(C13:N13)</f>
        <v/>
      </c>
    </row>
    <row r="14">
      <c r="A14" s="2" t="inlineStr">
        <is>
          <t>Margine cumulato</t>
        </is>
      </c>
      <c r="B14" s="4" t="n"/>
      <c r="C14" s="19">
        <f>SUM($C$13:C13)</f>
        <v/>
      </c>
      <c r="D14" s="19">
        <f>SUM($C$13:D13)</f>
        <v/>
      </c>
      <c r="E14" s="19">
        <f>SUM($C$13:E13)</f>
        <v/>
      </c>
      <c r="F14" s="19">
        <f>SUM($C$13:F13)</f>
        <v/>
      </c>
      <c r="G14" s="19">
        <f>SUM($C$13:G13)</f>
        <v/>
      </c>
      <c r="H14" s="19">
        <f>SUM($C$13:H13)</f>
        <v/>
      </c>
      <c r="I14" s="19">
        <f>SUM($C$13:I13)</f>
        <v/>
      </c>
      <c r="J14" s="19">
        <f>SUM($C$13:J13)</f>
        <v/>
      </c>
      <c r="K14" s="19">
        <f>SUM($C$13:K13)</f>
        <v/>
      </c>
      <c r="L14" s="19">
        <f>SUM($C$13:L13)</f>
        <v/>
      </c>
      <c r="M14" s="19">
        <f>SUM($C$13:M13)</f>
        <v/>
      </c>
      <c r="N14" s="19">
        <f>SUM($C$13:N13)</f>
        <v/>
      </c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6" t="inlineStr">
        <is>
          <t>Contributi e imposta si pagano a saldo e acconto (giugno e novembre): qui non sono distribuiti per mese.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2" customWidth="1" min="1" max="1"/>
    <col width="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2027-2029, scenario scelto in Ipotesi!C3</t>
        </is>
      </c>
      <c r="B1" s="4" t="n"/>
      <c r="C1" s="4" t="n"/>
      <c r="D1" s="4" t="n"/>
      <c r="E1" s="4" t="n"/>
    </row>
    <row r="2">
      <c r="A2" s="6" t="inlineStr">
        <is>
          <t>Ogni anno cresce la quota del mercato che prova l'app e la quota dei candidati raggiunti; dal 2029 si può aggiungere un secondo mercato. Prezzo di lancio solo nel 2027.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7" t="inlineStr">
        <is>
          <t>Voce</t>
        </is>
      </c>
      <c r="B4" s="7" t="inlineStr"/>
      <c r="C4" s="7" t="inlineStr">
        <is>
          <t>2027</t>
        </is>
      </c>
      <c r="D4" s="7" t="inlineStr">
        <is>
          <t>2028</t>
        </is>
      </c>
      <c r="E4" s="7" t="inlineStr">
        <is>
          <t>2029</t>
        </is>
      </c>
    </row>
    <row r="5">
      <c r="A5" s="2" t="inlineStr">
        <is>
          <t>Quota del mercato del recupero che prova l'app</t>
        </is>
      </c>
      <c r="B5" s="4" t="n"/>
      <c r="C5" s="17">
        <f>INDEX(Ipotesi!$C$12:$E$12,Ipotesi!$D$3)</f>
        <v/>
      </c>
      <c r="D5" s="17">
        <f>MIN(0.9,C5*(1+INDEX(Ipotesi!$C$66:$E$66,Ipotesi!$D$3)))</f>
        <v/>
      </c>
      <c r="E5" s="17">
        <f>MIN(0.9,D5*(1+INDEX(Ipotesi!$C$66:$E$66,Ipotesi!$D$3)))</f>
        <v/>
      </c>
    </row>
    <row r="6">
      <c r="A6" s="2" t="inlineStr">
        <is>
          <t>Quota dei candidati che prova l'app</t>
        </is>
      </c>
      <c r="B6" s="4" t="n"/>
      <c r="C6" s="17">
        <f>INDEX(Ipotesi!$C$17:$E$17,Ipotesi!$D$3)</f>
        <v/>
      </c>
      <c r="D6" s="17">
        <f>MIN(0.5,C6*INDEX(Ipotesi!$C$67:$E$67,Ipotesi!$D$3))</f>
        <v/>
      </c>
      <c r="E6" s="17">
        <f>MIN(0.5,D6*INDEX(Ipotesi!$C$67:$E$67,Ipotesi!$D$3))</f>
        <v/>
      </c>
    </row>
    <row r="7">
      <c r="A7" s="2" t="inlineStr">
        <is>
          <t>Pass venduti (recupero)</t>
        </is>
      </c>
      <c r="B7" s="4" t="n"/>
      <c r="C7" s="15">
        <f>INDEX('Anno 2027'!$C$7:$E$7,Ipotesi!$D$3)*C5*INDEX(Ipotesi!$C$13:$E$13,Ipotesi!$D$3)</f>
        <v/>
      </c>
      <c r="D7" s="15">
        <f>INDEX('Anno 2027'!$C$7:$E$7,Ipotesi!$D$3)*D5*INDEX(Ipotesi!$C$13:$E$13,Ipotesi!$D$3)</f>
        <v/>
      </c>
      <c r="E7" s="15">
        <f>INDEX('Anno 2027'!$C$7:$E$7,Ipotesi!$D$3)*E5*INDEX(Ipotesi!$C$13:$E$13,Ipotesi!$D$3)</f>
        <v/>
      </c>
    </row>
    <row r="8">
      <c r="A8" s="2" t="inlineStr">
        <is>
          <t>Pass venduti (prevenzione)</t>
        </is>
      </c>
      <c r="B8" s="4" t="n"/>
      <c r="C8" s="15">
        <f>INDEX(Ipotesi!$C$16:$E$16,Ipotesi!$D$3)*C6*INDEX(Ipotesi!$C$18:$E$18,Ipotesi!$D$3)</f>
        <v/>
      </c>
      <c r="D8" s="15">
        <f>INDEX(Ipotesi!$C$16:$E$16,Ipotesi!$D$3)*D6*INDEX(Ipotesi!$C$18:$E$18,Ipotesi!$D$3)</f>
        <v/>
      </c>
      <c r="E8" s="15">
        <f>INDEX(Ipotesi!$C$16:$E$16,Ipotesi!$D$3)*E6*INDEX(Ipotesi!$C$18:$E$18,Ipotesi!$D$3)</f>
        <v/>
      </c>
    </row>
    <row r="9">
      <c r="A9" s="2" t="inlineStr">
        <is>
          <t>Prezzo medio per Pass</t>
        </is>
      </c>
      <c r="B9" s="4" t="n"/>
      <c r="C9" s="18">
        <f>((INDEX(Ipotesi!$C$23:$E$23,Ipotesi!$D$3))*INDEX(Ipotesi!$C$22:$E$22,Ipotesi!$D$3)+(1-(INDEX(Ipotesi!$C$23:$E$23,Ipotesi!$D$3)))*INDEX(Ipotesi!$C$21:$E$21,Ipotesi!$D$3))*(1-INDEX(Ipotesi!$C$24:$E$24,Ipotesi!$D$3)*INDEX(Ipotesi!$C$25:$E$25,Ipotesi!$D$3))</f>
        <v/>
      </c>
      <c r="D9" s="18">
        <f>((0)*INDEX(Ipotesi!$C$22:$E$22,Ipotesi!$D$3)+(1-(0))*INDEX(Ipotesi!$C$21:$E$21,Ipotesi!$D$3))*(1-INDEX(Ipotesi!$C$24:$E$24,Ipotesi!$D$3)*INDEX(Ipotesi!$C$25:$E$25,Ipotesi!$D$3))</f>
        <v/>
      </c>
      <c r="E9" s="18">
        <f>((0)*INDEX(Ipotesi!$C$22:$E$22,Ipotesi!$D$3)+(1-(0))*INDEX(Ipotesi!$C$21:$E$21,Ipotesi!$D$3))*(1-INDEX(Ipotesi!$C$24:$E$24,Ipotesi!$D$3)*INDEX(Ipotesi!$C$25:$E$25,Ipotesi!$D$3))</f>
        <v/>
      </c>
    </row>
    <row r="10">
      <c r="A10" s="2" t="inlineStr">
        <is>
          <t>Ricavi lordi (Pass, garanzia, corsi)</t>
        </is>
      </c>
      <c r="B10" s="4" t="n"/>
      <c r="C10" s="19">
        <f>(C7+C8)*(C9+INDEX(Ipotesi!$C$26:$E$26,Ipotesi!$D$3)*INDEX(Ipotesi!$C$27:$E$27,Ipotesi!$D$3))+INDEX('Anno 2027'!$C$19:$E$19,Ipotesi!$D$3)</f>
        <v/>
      </c>
      <c r="D10" s="19">
        <f>(D7+D8)*(D9+INDEX(Ipotesi!$C$26:$E$26,Ipotesi!$D$3)*INDEX(Ipotesi!$C$27:$E$27,Ipotesi!$D$3))+INDEX('Anno 2027'!$C$19:$E$19,Ipotesi!$D$3)</f>
        <v/>
      </c>
      <c r="E10" s="19">
        <f>(E7+E8)*(E9+INDEX(Ipotesi!$C$26:$E$26,Ipotesi!$D$3)*INDEX(Ipotesi!$C$27:$E$27,Ipotesi!$D$3))+INDEX('Anno 2027'!$C$19:$E$19,Ipotesi!$D$3)</f>
        <v/>
      </c>
    </row>
    <row r="11">
      <c r="A11" s="2" t="inlineStr">
        <is>
          <t>Ricavi da un secondo mercato</t>
        </is>
      </c>
      <c r="B11" s="4" t="n"/>
      <c r="C11" s="19">
        <f>0</f>
        <v/>
      </c>
      <c r="D11" s="19">
        <f>0</f>
        <v/>
      </c>
      <c r="E11" s="19">
        <f>INDEX(Ipotesi!$C$68:$E$68,Ipotesi!$D$3)</f>
        <v/>
      </c>
    </row>
    <row r="12">
      <c r="A12" s="3" t="inlineStr">
        <is>
          <t>Ricavi lordi totali</t>
        </is>
      </c>
      <c r="B12" s="4" t="n"/>
      <c r="C12" s="25">
        <f>C10+C11</f>
        <v/>
      </c>
      <c r="D12" s="25">
        <f>D10+D11</f>
        <v/>
      </c>
      <c r="E12" s="25">
        <f>E10+E11</f>
        <v/>
      </c>
    </row>
    <row r="13">
      <c r="A13" s="2" t="inlineStr">
        <is>
          <t>Costi variabili (stessa quota sui ricavi del 2027)</t>
        </is>
      </c>
      <c r="B13" s="4" t="n"/>
      <c r="C13" s="19">
        <f>IF(INDEX('Anno 2027'!$C$20:$E$20,Ipotesi!$D$3)=0,0,C12*INDEX('Anno 2027'!$C$29:$E$29,Ipotesi!$D$3)/INDEX('Anno 2027'!$C$20:$E$20,Ipotesi!$D$3))</f>
        <v/>
      </c>
      <c r="D13" s="19">
        <f>IF(INDEX('Anno 2027'!$C$20:$E$20,Ipotesi!$D$3)=0,0,D12*INDEX('Anno 2027'!$C$29:$E$29,Ipotesi!$D$3)/INDEX('Anno 2027'!$C$20:$E$20,Ipotesi!$D$3))</f>
        <v/>
      </c>
      <c r="E13" s="19">
        <f>IF(INDEX('Anno 2027'!$C$20:$E$20,Ipotesi!$D$3)=0,0,E12*INDEX('Anno 2027'!$C$29:$E$29,Ipotesi!$D$3)/INDEX('Anno 2027'!$C$20:$E$20,Ipotesi!$D$3))</f>
        <v/>
      </c>
    </row>
    <row r="14">
      <c r="A14" s="2" t="inlineStr">
        <is>
          <t>Costi fissi</t>
        </is>
      </c>
      <c r="B14" s="4" t="n"/>
      <c r="C14" s="19">
        <f>INDEX('Anno 2027'!$C$32:$E$32,Ipotesi!$D$3)</f>
        <v/>
      </c>
      <c r="D14" s="19">
        <f>INDEX('Anno 2027'!$C$32:$E$32,Ipotesi!$D$3)</f>
        <v/>
      </c>
      <c r="E14" s="19">
        <f>INDEX('Anno 2027'!$C$32:$E$32,Ipotesi!$D$3)</f>
        <v/>
      </c>
    </row>
    <row r="15">
      <c r="A15" s="2" t="inlineStr">
        <is>
          <t>Reddito forfettario</t>
        </is>
      </c>
      <c r="B15" s="4" t="n"/>
      <c r="C15" s="19">
        <f>(C12*(1-INDEX(Ipotesi!$C$39:$E$39,Ipotesi!$D$3)))*INDEX(Ipotesi!$C$54:$E$54,Ipotesi!$D$3)</f>
        <v/>
      </c>
      <c r="D15" s="19">
        <f>(D12*(1-INDEX(Ipotesi!$C$39:$E$39,Ipotesi!$D$3)))*INDEX(Ipotesi!$C$54:$E$54,Ipotesi!$D$3)</f>
        <v/>
      </c>
      <c r="E15" s="19">
        <f>(E12*(1-INDEX(Ipotesi!$C$39:$E$39,Ipotesi!$D$3)))*INDEX(Ipotesi!$C$54:$E$54,Ipotesi!$D$3)</f>
        <v/>
      </c>
    </row>
    <row r="16">
      <c r="A16" s="2" t="inlineStr">
        <is>
          <t>Contributi INPS (Gestione Separata)</t>
        </is>
      </c>
      <c r="B16" s="4" t="n"/>
      <c r="C16" s="19">
        <f>C15*INDEX(Ipotesi!$C$56:$E$56,Ipotesi!$D$3)</f>
        <v/>
      </c>
      <c r="D16" s="19">
        <f>D15*INDEX(Ipotesi!$C$56:$E$56,Ipotesi!$D$3)</f>
        <v/>
      </c>
      <c r="E16" s="19">
        <f>E15*INDEX(Ipotesi!$C$56:$E$56,Ipotesi!$D$3)</f>
        <v/>
      </c>
    </row>
    <row r="17">
      <c r="A17" s="2" t="inlineStr">
        <is>
          <t>Imposta sostitutiva</t>
        </is>
      </c>
      <c r="B17" s="4" t="n"/>
      <c r="C17" s="19">
        <f>MAX(0,C15-C16)*INDEX(Ipotesi!$C$55:$E$55,Ipotesi!$D$3)</f>
        <v/>
      </c>
      <c r="D17" s="19">
        <f>MAX(0,D15-D16)*INDEX(Ipotesi!$C$55:$E$55,Ipotesi!$D$3)</f>
        <v/>
      </c>
      <c r="E17" s="19">
        <f>MAX(0,E15-E16)*INDEX(Ipotesi!$C$55:$E$55,Ipotesi!$D$3)</f>
        <v/>
      </c>
    </row>
    <row r="18">
      <c r="A18" s="3" t="inlineStr">
        <is>
          <t>Utile netto in tasca (Gestione Separata)</t>
        </is>
      </c>
      <c r="B18" s="4" t="n"/>
      <c r="C18" s="25">
        <f>C12-C13-C14-C16-C17</f>
        <v/>
      </c>
      <c r="D18" s="25">
        <f>D12-D13-D14-D16-D17</f>
        <v/>
      </c>
      <c r="E18" s="25">
        <f>E12-E13-E14-E16-E17</f>
        <v/>
      </c>
    </row>
    <row r="19">
      <c r="A19" s="3" t="inlineStr">
        <is>
          <t>Quota dell'obiettivo personale coperta</t>
        </is>
      </c>
      <c r="B19" s="4" t="n"/>
      <c r="C19" s="26">
        <f>C18/INDEX(Ipotesi!$C$63:$E$63,Ipotesi!$D$3)</f>
        <v/>
      </c>
      <c r="D19" s="26">
        <f>D18/INDEX(Ipotesi!$C$63:$E$63,Ipotesi!$D$3)</f>
        <v/>
      </c>
      <c r="E19" s="26">
        <f>E18/INDEX(Ipotesi!$C$63:$E$63,Ipotesi!$D$3)</f>
        <v/>
      </c>
    </row>
    <row r="20">
      <c r="A20" s="3" t="inlineStr">
        <is>
          <t>Utile netto se Commercianti (impresa)</t>
        </is>
      </c>
      <c r="B20" s="4" t="n"/>
      <c r="C20" s="25">
        <f>C12-C13-C14-INDEX(Ipotesi!$C$53:$E$53,Ipotesi!$D$3)-(MAX(INDEX(Ipotesi!$C$57:$E$57,Ipotesi!$D$3),INDEX(Ipotesi!$C$57:$E$57,Ipotesi!$D$3)+MAX(0,C15-INDEX(Ipotesi!$C$59:$E$59,Ipotesi!$D$3))*INDEX(Ipotesi!$C$58:$E$58,Ipotesi!$D$3)))*(1-INDEX(Ipotesi!$C$60:$E$60,Ipotesi!$D$3))-MAX(0,C15-(MAX(INDEX(Ipotesi!$C$57:$E$57,Ipotesi!$D$3),INDEX(Ipotesi!$C$57:$E$57,Ipotesi!$D$3)+MAX(0,C15-INDEX(Ipotesi!$C$59:$E$59,Ipotesi!$D$3))*INDEX(Ipotesi!$C$58:$E$58,Ipotesi!$D$3)))*(1-INDEX(Ipotesi!$C$60:$E$60,Ipotesi!$D$3)))*INDEX(Ipotesi!$C$55:$E$55,Ipotesi!$D$3)</f>
        <v/>
      </c>
      <c r="D20" s="25">
        <f>D12-D13-D14-INDEX(Ipotesi!$C$53:$E$53,Ipotesi!$D$3)-(MAX(INDEX(Ipotesi!$C$57:$E$57,Ipotesi!$D$3),INDEX(Ipotesi!$C$57:$E$57,Ipotesi!$D$3)+MAX(0,D15-INDEX(Ipotesi!$C$59:$E$59,Ipotesi!$D$3))*INDEX(Ipotesi!$C$58:$E$58,Ipotesi!$D$3)))*(1-INDEX(Ipotesi!$C$60:$E$60,Ipotesi!$D$3))-MAX(0,D15-(MAX(INDEX(Ipotesi!$C$57:$E$57,Ipotesi!$D$3),INDEX(Ipotesi!$C$57:$E$57,Ipotesi!$D$3)+MAX(0,D15-INDEX(Ipotesi!$C$59:$E$59,Ipotesi!$D$3))*INDEX(Ipotesi!$C$58:$E$58,Ipotesi!$D$3)))*(1-INDEX(Ipotesi!$C$60:$E$60,Ipotesi!$D$3)))*INDEX(Ipotesi!$C$55:$E$55,Ipotesi!$D$3)</f>
        <v/>
      </c>
      <c r="E20" s="25">
        <f>E12-E13-E14-INDEX(Ipotesi!$C$53:$E$53,Ipotesi!$D$3)-(MAX(INDEX(Ipotesi!$C$57:$E$57,Ipotesi!$D$3),INDEX(Ipotesi!$C$57:$E$57,Ipotesi!$D$3)+MAX(0,E15-INDEX(Ipotesi!$C$59:$E$59,Ipotesi!$D$3))*INDEX(Ipotesi!$C$58:$E$58,Ipotesi!$D$3)))*(1-INDEX(Ipotesi!$C$60:$E$60,Ipotesi!$D$3))-MAX(0,E15-(MAX(INDEX(Ipotesi!$C$57:$E$57,Ipotesi!$D$3),INDEX(Ipotesi!$C$57:$E$57,Ipotesi!$D$3)+MAX(0,E15-INDEX(Ipotesi!$C$59:$E$59,Ipotesi!$D$3))*INDEX(Ipotesi!$C$58:$E$58,Ipotesi!$D$3)))*(1-INDEX(Ipotesi!$C$60:$E$60,Ipotesi!$D$3)))*INDEX(Ipotesi!$C$55:$E$55,Ipotesi!$D$3)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5" customWidth="1" min="1" max="1"/>
    <col width="2" customWidth="1" min="2" max="2"/>
    <col width="18" customWidth="1" min="3" max="3"/>
    <col width="18" customWidth="1" min="4" max="4"/>
  </cols>
  <sheetData>
    <row r="1">
      <c r="A1" s="1" t="inlineStr">
        <is>
          <t>Quanti Pass servono per coprire i costi fissi (scenario scelto)</t>
        </is>
      </c>
      <c r="B1" s="4" t="n"/>
      <c r="C1" s="4" t="n"/>
      <c r="D1" s="4" t="n"/>
    </row>
    <row r="2">
      <c r="A2" s="6" t="inlineStr">
        <is>
          <t>Margine per Pass = prezzo medio meno costi variabili per Pass, al netto di contributi e imposta sulla parte variabile. In COM si aggiunge il contributo minimo fisso.</t>
        </is>
      </c>
      <c r="B2" s="4" t="n"/>
      <c r="C2" s="4" t="n"/>
      <c r="D2" s="4" t="n"/>
    </row>
    <row r="3">
      <c r="A3" s="4" t="n"/>
      <c r="B3" s="4" t="n"/>
      <c r="C3" s="4" t="n"/>
      <c r="D3" s="4" t="n"/>
    </row>
    <row r="4">
      <c r="A4" s="7" t="inlineStr">
        <is>
          <t>Voce</t>
        </is>
      </c>
      <c r="B4" s="7" t="inlineStr"/>
      <c r="C4" s="7" t="inlineStr">
        <is>
          <t>Gestione Separata</t>
        </is>
      </c>
      <c r="D4" s="7" t="inlineStr">
        <is>
          <t>Commercianti</t>
        </is>
      </c>
    </row>
    <row r="5">
      <c r="A5" s="2" t="inlineStr">
        <is>
          <t>Prezzo medio incassato per Pass</t>
        </is>
      </c>
      <c r="B5" s="4" t="n"/>
      <c r="C5" s="18">
        <f>INDEX('Anno 2027'!$C$16:$E$16,Ipotesi!$D$3)</f>
        <v/>
      </c>
      <c r="D5" s="18">
        <f>INDEX('Anno 2027'!$C$16:$E$16,Ipotesi!$D$3)</f>
        <v/>
      </c>
    </row>
    <row r="6">
      <c r="A6" s="2" t="inlineStr">
        <is>
          <t>Costi variabili per Pass (quota sui ricavi del 2027)</t>
        </is>
      </c>
      <c r="B6" s="4" t="n"/>
      <c r="C6" s="18">
        <f>IF(INDEX('Anno 2027'!$C$20:$E$20,Ipotesi!$D$3)=0,0,C5*INDEX('Anno 2027'!$C$29:$E$29,Ipotesi!$D$3)/INDEX('Anno 2027'!$C$20:$E$20,Ipotesi!$D$3))</f>
        <v/>
      </c>
      <c r="D6" s="18">
        <f>C6</f>
        <v/>
      </c>
    </row>
    <row r="7">
      <c r="A7" s="2" t="inlineStr">
        <is>
          <t>Contributi variabili per Pass</t>
        </is>
      </c>
      <c r="B7" s="4" t="n"/>
      <c r="C7" s="18">
        <f>C5*(1-INDEX(Ipotesi!$C$39:$E$39,Ipotesi!$D$3))*INDEX(Ipotesi!$C$54:$E$54,Ipotesi!$D$3)*INDEX(Ipotesi!$C$56:$E$56,Ipotesi!$D$3)</f>
        <v/>
      </c>
      <c r="D7" s="18">
        <f>0</f>
        <v/>
      </c>
    </row>
    <row r="8">
      <c r="A8" s="2" t="inlineStr">
        <is>
          <t>Imposta per Pass</t>
        </is>
      </c>
      <c r="B8" s="4" t="n"/>
      <c r="C8" s="18">
        <f>(C5*(1-INDEX(Ipotesi!$C$39:$E$39,Ipotesi!$D$3))*INDEX(Ipotesi!$C$54:$E$54,Ipotesi!$D$3)-C7)*INDEX(Ipotesi!$C$55:$E$55,Ipotesi!$D$3)</f>
        <v/>
      </c>
      <c r="D8" s="18">
        <f>D5*(1-INDEX(Ipotesi!$C$39:$E$39,Ipotesi!$D$3))*INDEX(Ipotesi!$C$54:$E$54,Ipotesi!$D$3)*INDEX(Ipotesi!$C$55:$E$55,Ipotesi!$D$3)</f>
        <v/>
      </c>
    </row>
    <row r="9">
      <c r="A9" s="3" t="inlineStr">
        <is>
          <t>Margine netto per Pass</t>
        </is>
      </c>
      <c r="B9" s="4" t="n"/>
      <c r="C9" s="27">
        <f>C5-C6-C7-C8</f>
        <v/>
      </c>
      <c r="D9" s="27">
        <f>D5-D6-D7-D8</f>
        <v/>
      </c>
    </row>
    <row r="10">
      <c r="A10" s="2" t="inlineStr">
        <is>
          <t>Costi fissi annui</t>
        </is>
      </c>
      <c r="B10" s="4" t="n"/>
      <c r="C10" s="19">
        <f>INDEX('Anno 2027'!$C$32:$E$32,Ipotesi!$D$3)</f>
        <v/>
      </c>
      <c r="D10" s="19">
        <f>INDEX('Anno 2027'!$C$32:$E$32,Ipotesi!$D$3)+INDEX(Ipotesi!$C$53:$E$53,Ipotesi!$D$3)</f>
        <v/>
      </c>
    </row>
    <row r="11">
      <c r="A11" s="2" t="inlineStr">
        <is>
          <t>Contributo INPS fisso annuo</t>
        </is>
      </c>
      <c r="B11" s="4" t="n"/>
      <c r="C11" s="19">
        <f>0</f>
        <v/>
      </c>
      <c r="D11" s="19">
        <f>INDEX(Ipotesi!$C$57:$E$57,Ipotesi!$D$3)*(1-INDEX(Ipotesi!$C$60:$E$60,Ipotesi!$D$3))</f>
        <v/>
      </c>
    </row>
    <row r="12">
      <c r="A12" s="3" t="inlineStr">
        <is>
          <t>Pass l'anno per andare in pari</t>
        </is>
      </c>
      <c r="B12" s="4" t="n"/>
      <c r="C12" s="24">
        <f>IF(C9&lt;=0,0,(C10+C11)/C9)</f>
        <v/>
      </c>
      <c r="D12" s="24">
        <f>IF(D9&lt;=0,0,(D10+D11)/D9)</f>
        <v/>
      </c>
    </row>
    <row r="13">
      <c r="A13" s="3" t="inlineStr">
        <is>
          <t>Pass l'anno per l'obiettivo personale</t>
        </is>
      </c>
      <c r="B13" s="4" t="n"/>
      <c r="C13" s="24">
        <f>IF(C9&lt;=0,0,(C10+C11+INDEX(Ipotesi!$C$63:$E$63,Ipotesi!$D$3))/C9)</f>
        <v/>
      </c>
      <c r="D13" s="24">
        <f>IF(D9&lt;=0,0,(D10+D11+INDEX(Ipotesi!$C$63:$E$63,Ipotesi!$D$3))/D9)</f>
        <v/>
      </c>
    </row>
    <row r="14">
      <c r="A14" s="2" t="inlineStr">
        <is>
          <t>Confronto: mercato del recupero l'anno (persone)</t>
        </is>
      </c>
      <c r="B14" s="4" t="n"/>
      <c r="C14" s="15">
        <f>INDEX('Anno 2027'!$C$7:$E$7,Ipotesi!$D$3)</f>
        <v/>
      </c>
      <c r="D14" s="15">
        <f>INDEX('Anno 2027'!$C$7:$E$7,Ipotesi!$D$3)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2026-10-09T23:37:49Z</dcterms:created>
  <dcterms:modified xsi:type="dcterms:W3CDTF">2026-10-09T23:37:49Z</dcterms:modified>
</cp:coreProperties>
</file>